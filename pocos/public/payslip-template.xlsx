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하나그룹\Desktop\섭주요청자료\어브코스\"/>
    </mc:Choice>
  </mc:AlternateContent>
  <bookViews>
    <workbookView xWindow="0" yWindow="0" windowWidth="28800" windowHeight="14085"/>
  </bookViews>
  <sheets>
    <sheet name="D(프리랜서_)" sheetId="69" r:id="rId1"/>
    <sheet name="Sheet1" sheetId="81" r:id="rId2"/>
  </sheets>
  <externalReferences>
    <externalReference r:id="rId3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S5" i="81" l="1"/>
  <c r="R5" i="81"/>
  <c r="P177" i="81"/>
  <c r="I177" i="81"/>
  <c r="P175" i="81"/>
  <c r="N174" i="81"/>
  <c r="M174" i="81"/>
  <c r="K174" i="81"/>
  <c r="L174" i="81" s="1"/>
  <c r="J174" i="81"/>
  <c r="H174" i="81"/>
  <c r="G174" i="81"/>
  <c r="E174" i="81"/>
  <c r="F174" i="81" s="1"/>
  <c r="Q174" i="81" s="1"/>
  <c r="C174" i="81"/>
  <c r="N173" i="81"/>
  <c r="M173" i="81"/>
  <c r="K173" i="81"/>
  <c r="L173" i="81" s="1"/>
  <c r="J173" i="81"/>
  <c r="H173" i="81"/>
  <c r="G173" i="81"/>
  <c r="E173" i="81"/>
  <c r="F173" i="81" s="1"/>
  <c r="C173" i="81"/>
  <c r="M172" i="81"/>
  <c r="N172" i="81" s="1"/>
  <c r="K172" i="81"/>
  <c r="L172" i="81" s="1"/>
  <c r="J172" i="81"/>
  <c r="G172" i="81"/>
  <c r="H172" i="81" s="1"/>
  <c r="E172" i="81"/>
  <c r="F172" i="81" s="1"/>
  <c r="Q172" i="81" s="1"/>
  <c r="C172" i="81"/>
  <c r="M171" i="81"/>
  <c r="N171" i="81" s="1"/>
  <c r="K171" i="81"/>
  <c r="L171" i="81" s="1"/>
  <c r="J171" i="81"/>
  <c r="G171" i="81"/>
  <c r="H171" i="81" s="1"/>
  <c r="E171" i="81"/>
  <c r="F171" i="81" s="1"/>
  <c r="C171" i="81"/>
  <c r="M170" i="81"/>
  <c r="N170" i="81" s="1"/>
  <c r="K170" i="81"/>
  <c r="L170" i="81" s="1"/>
  <c r="J170" i="81"/>
  <c r="G170" i="81"/>
  <c r="H170" i="81" s="1"/>
  <c r="E170" i="81"/>
  <c r="F170" i="81" s="1"/>
  <c r="C170" i="81"/>
  <c r="M169" i="81"/>
  <c r="N169" i="81" s="1"/>
  <c r="K169" i="81"/>
  <c r="L169" i="81" s="1"/>
  <c r="J169" i="81"/>
  <c r="G169" i="81"/>
  <c r="H169" i="81" s="1"/>
  <c r="E169" i="81"/>
  <c r="F169" i="81" s="1"/>
  <c r="C169" i="81"/>
  <c r="M168" i="81"/>
  <c r="N168" i="81" s="1"/>
  <c r="K168" i="81"/>
  <c r="L168" i="81" s="1"/>
  <c r="J168" i="81"/>
  <c r="G168" i="81"/>
  <c r="H168" i="81" s="1"/>
  <c r="E168" i="81"/>
  <c r="F168" i="81" s="1"/>
  <c r="C168" i="81"/>
  <c r="M167" i="81"/>
  <c r="N167" i="81" s="1"/>
  <c r="K167" i="81"/>
  <c r="L167" i="81" s="1"/>
  <c r="J167" i="81"/>
  <c r="G167" i="81"/>
  <c r="H167" i="81" s="1"/>
  <c r="E167" i="81"/>
  <c r="F167" i="81" s="1"/>
  <c r="Q167" i="81" s="1"/>
  <c r="C167" i="81"/>
  <c r="M166" i="81"/>
  <c r="N166" i="81" s="1"/>
  <c r="K166" i="81"/>
  <c r="L166" i="81" s="1"/>
  <c r="J166" i="81"/>
  <c r="G166" i="81"/>
  <c r="H166" i="81" s="1"/>
  <c r="E166" i="81"/>
  <c r="F166" i="81" s="1"/>
  <c r="Q166" i="81" s="1"/>
  <c r="C166" i="81"/>
  <c r="M165" i="81"/>
  <c r="N165" i="81" s="1"/>
  <c r="K165" i="81"/>
  <c r="L165" i="81" s="1"/>
  <c r="J165" i="81"/>
  <c r="G165" i="81"/>
  <c r="H165" i="81" s="1"/>
  <c r="E165" i="81"/>
  <c r="F165" i="81" s="1"/>
  <c r="C165" i="81"/>
  <c r="M164" i="81"/>
  <c r="N164" i="81" s="1"/>
  <c r="K164" i="81"/>
  <c r="L164" i="81" s="1"/>
  <c r="J164" i="81"/>
  <c r="G164" i="81"/>
  <c r="H164" i="81" s="1"/>
  <c r="E164" i="81"/>
  <c r="F164" i="81" s="1"/>
  <c r="Q164" i="81" s="1"/>
  <c r="S164" i="81" s="1"/>
  <c r="C164" i="81"/>
  <c r="M163" i="81"/>
  <c r="N163" i="81" s="1"/>
  <c r="K163" i="81"/>
  <c r="L163" i="81" s="1"/>
  <c r="J163" i="81"/>
  <c r="G163" i="81"/>
  <c r="H163" i="81" s="1"/>
  <c r="E163" i="81"/>
  <c r="F163" i="81" s="1"/>
  <c r="C163" i="81"/>
  <c r="N162" i="81"/>
  <c r="M162" i="81"/>
  <c r="K162" i="81"/>
  <c r="L162" i="81" s="1"/>
  <c r="J162" i="81"/>
  <c r="G162" i="81"/>
  <c r="H162" i="81" s="1"/>
  <c r="E162" i="81"/>
  <c r="F162" i="81" s="1"/>
  <c r="C162" i="81"/>
  <c r="M161" i="81"/>
  <c r="N161" i="81" s="1"/>
  <c r="K161" i="81"/>
  <c r="L161" i="81" s="1"/>
  <c r="J161" i="81"/>
  <c r="G161" i="81"/>
  <c r="H161" i="81" s="1"/>
  <c r="E161" i="81"/>
  <c r="F161" i="81" s="1"/>
  <c r="C161" i="81"/>
  <c r="M160" i="81"/>
  <c r="N160" i="81" s="1"/>
  <c r="L160" i="81"/>
  <c r="K160" i="81"/>
  <c r="J160" i="81"/>
  <c r="G160" i="81"/>
  <c r="H160" i="81" s="1"/>
  <c r="E160" i="81"/>
  <c r="F160" i="81" s="1"/>
  <c r="C160" i="81"/>
  <c r="J159" i="81"/>
  <c r="C159" i="81"/>
  <c r="J158" i="81"/>
  <c r="C158" i="81"/>
  <c r="J157" i="81"/>
  <c r="C157" i="81"/>
  <c r="J156" i="81"/>
  <c r="C156" i="81"/>
  <c r="J155" i="81"/>
  <c r="C155" i="81"/>
  <c r="J154" i="81"/>
  <c r="C154" i="81"/>
  <c r="J153" i="81"/>
  <c r="C153" i="81"/>
  <c r="J152" i="81"/>
  <c r="C152" i="81"/>
  <c r="J151" i="81"/>
  <c r="C151" i="81"/>
  <c r="D150" i="81"/>
  <c r="C150" i="81"/>
  <c r="D149" i="81"/>
  <c r="C149" i="81"/>
  <c r="J148" i="81"/>
  <c r="D148" i="81"/>
  <c r="C148" i="81"/>
  <c r="J147" i="81"/>
  <c r="D147" i="81"/>
  <c r="C147" i="81"/>
  <c r="J146" i="81"/>
  <c r="D146" i="81"/>
  <c r="C146" i="81"/>
  <c r="J145" i="81"/>
  <c r="D145" i="81"/>
  <c r="C145" i="81"/>
  <c r="J144" i="81"/>
  <c r="D144" i="81"/>
  <c r="C144" i="81"/>
  <c r="J143" i="81"/>
  <c r="D143" i="81"/>
  <c r="C143" i="81"/>
  <c r="J142" i="81"/>
  <c r="D142" i="81"/>
  <c r="C142" i="81"/>
  <c r="J141" i="81"/>
  <c r="D141" i="81"/>
  <c r="C141" i="81"/>
  <c r="J140" i="81"/>
  <c r="D140" i="81"/>
  <c r="C140" i="81"/>
  <c r="D139" i="81"/>
  <c r="C139" i="81"/>
  <c r="D138" i="81"/>
  <c r="C138" i="81"/>
  <c r="D137" i="81"/>
  <c r="C137" i="81"/>
  <c r="D136" i="81"/>
  <c r="J136" i="81" s="1"/>
  <c r="C136" i="81"/>
  <c r="D135" i="81"/>
  <c r="C135" i="81"/>
  <c r="D134" i="81"/>
  <c r="J134" i="81" s="1"/>
  <c r="C134" i="81"/>
  <c r="D133" i="81"/>
  <c r="C133" i="81"/>
  <c r="J132" i="81"/>
  <c r="C132" i="81"/>
  <c r="J131" i="81"/>
  <c r="C131" i="81"/>
  <c r="J130" i="81"/>
  <c r="C130" i="81"/>
  <c r="J129" i="81"/>
  <c r="C129" i="81"/>
  <c r="J128" i="81"/>
  <c r="C128" i="81"/>
  <c r="J127" i="81"/>
  <c r="C127" i="81"/>
  <c r="J126" i="81"/>
  <c r="C126" i="81"/>
  <c r="J125" i="81"/>
  <c r="C125" i="81"/>
  <c r="J124" i="81"/>
  <c r="C124" i="81"/>
  <c r="J123" i="81"/>
  <c r="C123" i="81"/>
  <c r="J122" i="81"/>
  <c r="C122" i="81"/>
  <c r="J121" i="81"/>
  <c r="C121" i="81"/>
  <c r="J120" i="81"/>
  <c r="C120" i="81"/>
  <c r="J119" i="81"/>
  <c r="C119" i="81"/>
  <c r="J118" i="81"/>
  <c r="C118" i="81"/>
  <c r="J117" i="81"/>
  <c r="C117" i="81"/>
  <c r="J116" i="81"/>
  <c r="C116" i="81"/>
  <c r="J115" i="81"/>
  <c r="C115" i="81"/>
  <c r="J114" i="81"/>
  <c r="C114" i="81"/>
  <c r="J113" i="81"/>
  <c r="C113" i="81"/>
  <c r="J112" i="81"/>
  <c r="C112" i="81"/>
  <c r="J111" i="81"/>
  <c r="C111" i="81"/>
  <c r="J110" i="81"/>
  <c r="C110" i="81"/>
  <c r="C109" i="81"/>
  <c r="C108" i="81"/>
  <c r="C107" i="81"/>
  <c r="C106" i="81"/>
  <c r="C105" i="81"/>
  <c r="C104" i="81"/>
  <c r="C103" i="81"/>
  <c r="J102" i="81"/>
  <c r="C102" i="81"/>
  <c r="J101" i="81"/>
  <c r="C101" i="81"/>
  <c r="J100" i="81"/>
  <c r="C100" i="81"/>
  <c r="J99" i="81"/>
  <c r="C99" i="81"/>
  <c r="J98" i="81"/>
  <c r="C98" i="81"/>
  <c r="J97" i="81"/>
  <c r="C97" i="81"/>
  <c r="J96" i="81"/>
  <c r="C96" i="81"/>
  <c r="J95" i="81"/>
  <c r="C95" i="81"/>
  <c r="J94" i="81"/>
  <c r="C94" i="81"/>
  <c r="J93" i="81"/>
  <c r="C93" i="81"/>
  <c r="J92" i="81"/>
  <c r="C92" i="81"/>
  <c r="C91" i="81"/>
  <c r="C90" i="81"/>
  <c r="C89" i="81"/>
  <c r="C88" i="81"/>
  <c r="C87" i="81"/>
  <c r="C86" i="81"/>
  <c r="C85" i="81"/>
  <c r="C84" i="81"/>
  <c r="C83" i="81"/>
  <c r="C82" i="81"/>
  <c r="C81" i="81"/>
  <c r="C80" i="81"/>
  <c r="C79" i="81"/>
  <c r="C78" i="81"/>
  <c r="C77" i="81"/>
  <c r="C76" i="81"/>
  <c r="C75" i="81"/>
  <c r="C74" i="81"/>
  <c r="D73" i="81"/>
  <c r="C73" i="81"/>
  <c r="D72" i="81"/>
  <c r="C72" i="81"/>
  <c r="D71" i="81"/>
  <c r="C71" i="81"/>
  <c r="D70" i="81"/>
  <c r="C70" i="81"/>
  <c r="D69" i="81"/>
  <c r="C69" i="81"/>
  <c r="D68" i="81"/>
  <c r="C68" i="81"/>
  <c r="D67" i="81"/>
  <c r="C67" i="81"/>
  <c r="D66" i="81"/>
  <c r="C66" i="81"/>
  <c r="D65" i="81"/>
  <c r="C65" i="81"/>
  <c r="D64" i="81"/>
  <c r="C64" i="81"/>
  <c r="D63" i="81"/>
  <c r="C63" i="81"/>
  <c r="D62" i="81"/>
  <c r="C62" i="81"/>
  <c r="D61" i="81"/>
  <c r="C61" i="81"/>
  <c r="D60" i="81"/>
  <c r="C60" i="81"/>
  <c r="D59" i="81"/>
  <c r="C59" i="81"/>
  <c r="D58" i="81"/>
  <c r="C58" i="81"/>
  <c r="D57" i="81"/>
  <c r="C57" i="81"/>
  <c r="D56" i="81"/>
  <c r="C56" i="81"/>
  <c r="D55" i="81"/>
  <c r="C55" i="81"/>
  <c r="D54" i="81"/>
  <c r="C54" i="81"/>
  <c r="D53" i="81"/>
  <c r="C53" i="81"/>
  <c r="D52" i="81"/>
  <c r="C52" i="81"/>
  <c r="D51" i="81"/>
  <c r="C51" i="81"/>
  <c r="D50" i="81"/>
  <c r="C50" i="81"/>
  <c r="D49" i="81"/>
  <c r="C49" i="81"/>
  <c r="D48" i="81"/>
  <c r="C48" i="81"/>
  <c r="D47" i="81"/>
  <c r="C47" i="81"/>
  <c r="D46" i="81"/>
  <c r="C46" i="81"/>
  <c r="D45" i="81"/>
  <c r="C45" i="81"/>
  <c r="D44" i="81"/>
  <c r="C44" i="81"/>
  <c r="D43" i="81"/>
  <c r="C43" i="81"/>
  <c r="D42" i="81"/>
  <c r="C42" i="81"/>
  <c r="D41" i="81"/>
  <c r="C41" i="81"/>
  <c r="D40" i="81"/>
  <c r="C40" i="81"/>
  <c r="D39" i="81"/>
  <c r="C39" i="81"/>
  <c r="D38" i="81"/>
  <c r="C38" i="81"/>
  <c r="D37" i="81"/>
  <c r="C37" i="81"/>
  <c r="D36" i="81"/>
  <c r="C36" i="81"/>
  <c r="D35" i="81"/>
  <c r="C35" i="81"/>
  <c r="D34" i="81"/>
  <c r="C34" i="81"/>
  <c r="D33" i="81"/>
  <c r="C33" i="81"/>
  <c r="D32" i="81"/>
  <c r="C32" i="81"/>
  <c r="D31" i="81"/>
  <c r="C31" i="81"/>
  <c r="D30" i="81"/>
  <c r="C30" i="81"/>
  <c r="D29" i="81"/>
  <c r="C29" i="81"/>
  <c r="D28" i="81"/>
  <c r="C28" i="81"/>
  <c r="D27" i="81"/>
  <c r="C27" i="81"/>
  <c r="O26" i="81"/>
  <c r="O175" i="81" s="1"/>
  <c r="D26" i="81"/>
  <c r="C26" i="81"/>
  <c r="D25" i="81"/>
  <c r="C25" i="81"/>
  <c r="D24" i="81"/>
  <c r="C24" i="81"/>
  <c r="D23" i="81"/>
  <c r="C23" i="81"/>
  <c r="D22" i="81"/>
  <c r="C22" i="81"/>
  <c r="D21" i="81"/>
  <c r="C21" i="81"/>
  <c r="D20" i="81"/>
  <c r="C20" i="81"/>
  <c r="D19" i="81"/>
  <c r="C19" i="81"/>
  <c r="D18" i="81"/>
  <c r="C18" i="81"/>
  <c r="D17" i="81"/>
  <c r="C17" i="81"/>
  <c r="D16" i="81"/>
  <c r="C16" i="81"/>
  <c r="D15" i="81"/>
  <c r="C15" i="81"/>
  <c r="D14" i="81"/>
  <c r="C14" i="81"/>
  <c r="D13" i="81"/>
  <c r="C13" i="81"/>
  <c r="D12" i="81"/>
  <c r="C12" i="81"/>
  <c r="D11" i="81"/>
  <c r="C11" i="81"/>
  <c r="D10" i="81"/>
  <c r="C10" i="81"/>
  <c r="D9" i="81"/>
  <c r="C9" i="81"/>
  <c r="D8" i="81"/>
  <c r="C8" i="81"/>
  <c r="D7" i="81"/>
  <c r="C7" i="81"/>
  <c r="D6" i="81"/>
  <c r="C6" i="81"/>
  <c r="D5" i="81"/>
  <c r="C5" i="81"/>
  <c r="J135" i="81" l="1"/>
  <c r="J137" i="81"/>
  <c r="J150" i="81"/>
  <c r="Q171" i="81"/>
  <c r="Q162" i="81"/>
  <c r="J138" i="81"/>
  <c r="Q163" i="81"/>
  <c r="Q170" i="81"/>
  <c r="S170" i="81" s="1"/>
  <c r="J149" i="81"/>
  <c r="S163" i="81"/>
  <c r="R163" i="81"/>
  <c r="T163" i="81" s="1"/>
  <c r="U163" i="81" s="1"/>
  <c r="S171" i="81"/>
  <c r="R171" i="81"/>
  <c r="J139" i="81"/>
  <c r="Q161" i="81"/>
  <c r="S162" i="81"/>
  <c r="R162" i="81"/>
  <c r="T162" i="81" s="1"/>
  <c r="U162" i="81" s="1"/>
  <c r="S166" i="81"/>
  <c r="R166" i="81"/>
  <c r="T166" i="81" s="1"/>
  <c r="U166" i="81"/>
  <c r="R172" i="81"/>
  <c r="S172" i="81"/>
  <c r="S174" i="81"/>
  <c r="R174" i="81"/>
  <c r="R164" i="81"/>
  <c r="T164" i="81" s="1"/>
  <c r="U164" i="81" s="1"/>
  <c r="S167" i="81"/>
  <c r="R167" i="81"/>
  <c r="T167" i="81" s="1"/>
  <c r="U167" i="81" s="1"/>
  <c r="Q169" i="81"/>
  <c r="Q160" i="81"/>
  <c r="Q165" i="81"/>
  <c r="Q168" i="81"/>
  <c r="Q173" i="81"/>
  <c r="R170" i="81" l="1"/>
  <c r="T170" i="81" s="1"/>
  <c r="U170" i="81" s="1"/>
  <c r="J177" i="81"/>
  <c r="R173" i="81"/>
  <c r="T173" i="81" s="1"/>
  <c r="U173" i="81"/>
  <c r="S173" i="81"/>
  <c r="S168" i="81"/>
  <c r="R168" i="81"/>
  <c r="T168" i="81" s="1"/>
  <c r="U168" i="81" s="1"/>
  <c r="R165" i="81"/>
  <c r="S165" i="81"/>
  <c r="T172" i="81"/>
  <c r="U172" i="81" s="1"/>
  <c r="T171" i="81"/>
  <c r="U171" i="81" s="1"/>
  <c r="S160" i="81"/>
  <c r="R160" i="81"/>
  <c r="T160" i="81" s="1"/>
  <c r="U160" i="81" s="1"/>
  <c r="R169" i="81"/>
  <c r="S169" i="81"/>
  <c r="T174" i="81"/>
  <c r="U174" i="81" s="1"/>
  <c r="R161" i="81"/>
  <c r="T161" i="81" s="1"/>
  <c r="U161" i="81" s="1"/>
  <c r="S161" i="81"/>
  <c r="T169" i="81" l="1"/>
  <c r="U169" i="81" s="1"/>
  <c r="T165" i="81"/>
  <c r="U165" i="81" s="1"/>
  <c r="M90" i="81" l="1"/>
  <c r="N90" i="81" s="1"/>
  <c r="K90" i="81"/>
  <c r="L90" i="81" s="1"/>
  <c r="I90" i="81"/>
  <c r="J90" i="81" s="1"/>
  <c r="G90" i="81"/>
  <c r="H90" i="81" s="1"/>
  <c r="E90" i="81"/>
  <c r="F90" i="81" s="1"/>
  <c r="M89" i="81"/>
  <c r="N89" i="81" s="1"/>
  <c r="K89" i="81"/>
  <c r="L89" i="81" s="1"/>
  <c r="I89" i="81"/>
  <c r="J89" i="81" s="1"/>
  <c r="G89" i="81"/>
  <c r="H89" i="81" s="1"/>
  <c r="E89" i="81"/>
  <c r="F89" i="81" s="1"/>
  <c r="M88" i="81"/>
  <c r="N88" i="81" s="1"/>
  <c r="K88" i="81"/>
  <c r="L88" i="81" s="1"/>
  <c r="I88" i="81"/>
  <c r="J88" i="81" s="1"/>
  <c r="G88" i="81"/>
  <c r="H88" i="81" s="1"/>
  <c r="E88" i="81"/>
  <c r="F88" i="81" s="1"/>
  <c r="M87" i="81"/>
  <c r="N87" i="81" s="1"/>
  <c r="K87" i="81"/>
  <c r="L87" i="81" s="1"/>
  <c r="I87" i="81"/>
  <c r="J87" i="81" s="1"/>
  <c r="G87" i="81"/>
  <c r="H87" i="81" s="1"/>
  <c r="E87" i="81"/>
  <c r="F87" i="81" s="1"/>
  <c r="Q87" i="81" s="1"/>
  <c r="M86" i="81"/>
  <c r="N86" i="81" s="1"/>
  <c r="K86" i="81"/>
  <c r="L86" i="81" s="1"/>
  <c r="I86" i="81"/>
  <c r="J86" i="81" s="1"/>
  <c r="G86" i="81"/>
  <c r="H86" i="81" s="1"/>
  <c r="E86" i="81"/>
  <c r="F86" i="81" s="1"/>
  <c r="M85" i="81"/>
  <c r="N85" i="81" s="1"/>
  <c r="K85" i="81"/>
  <c r="L85" i="81" s="1"/>
  <c r="I85" i="81"/>
  <c r="J85" i="81" s="1"/>
  <c r="G85" i="81"/>
  <c r="H85" i="81" s="1"/>
  <c r="E85" i="81"/>
  <c r="F85" i="81" s="1"/>
  <c r="M84" i="81"/>
  <c r="N84" i="81" s="1"/>
  <c r="K84" i="81"/>
  <c r="L84" i="81" s="1"/>
  <c r="I84" i="81"/>
  <c r="J84" i="81" s="1"/>
  <c r="G84" i="81"/>
  <c r="H84" i="81" s="1"/>
  <c r="E84" i="81"/>
  <c r="F84" i="81" s="1"/>
  <c r="M83" i="81"/>
  <c r="N83" i="81" s="1"/>
  <c r="K83" i="81"/>
  <c r="L83" i="81" s="1"/>
  <c r="I83" i="81"/>
  <c r="J83" i="81" s="1"/>
  <c r="G83" i="81"/>
  <c r="H83" i="81" s="1"/>
  <c r="E83" i="81"/>
  <c r="F83" i="81" s="1"/>
  <c r="Q83" i="81" s="1"/>
  <c r="M82" i="81"/>
  <c r="N82" i="81" s="1"/>
  <c r="K82" i="81"/>
  <c r="L82" i="81" s="1"/>
  <c r="I82" i="81"/>
  <c r="J82" i="81" s="1"/>
  <c r="G82" i="81"/>
  <c r="H82" i="81" s="1"/>
  <c r="E82" i="81"/>
  <c r="F82" i="81" s="1"/>
  <c r="M81" i="81"/>
  <c r="N81" i="81" s="1"/>
  <c r="K81" i="81"/>
  <c r="L81" i="81" s="1"/>
  <c r="I81" i="81"/>
  <c r="J81" i="81" s="1"/>
  <c r="G81" i="81"/>
  <c r="H81" i="81" s="1"/>
  <c r="E81" i="81"/>
  <c r="F81" i="81" s="1"/>
  <c r="M80" i="81"/>
  <c r="N80" i="81" s="1"/>
  <c r="K80" i="81"/>
  <c r="L80" i="81" s="1"/>
  <c r="I80" i="81"/>
  <c r="J80" i="81" s="1"/>
  <c r="G80" i="81"/>
  <c r="H80" i="81" s="1"/>
  <c r="E80" i="81"/>
  <c r="F80" i="81" s="1"/>
  <c r="M79" i="81"/>
  <c r="N79" i="81" s="1"/>
  <c r="K79" i="81"/>
  <c r="L79" i="81" s="1"/>
  <c r="I79" i="81"/>
  <c r="J79" i="81" s="1"/>
  <c r="G79" i="81"/>
  <c r="H79" i="81" s="1"/>
  <c r="E79" i="81"/>
  <c r="F79" i="81" s="1"/>
  <c r="Q79" i="81" s="1"/>
  <c r="M78" i="81"/>
  <c r="N78" i="81" s="1"/>
  <c r="K78" i="81"/>
  <c r="L78" i="81" s="1"/>
  <c r="I78" i="81"/>
  <c r="J78" i="81" s="1"/>
  <c r="G78" i="81"/>
  <c r="H78" i="81" s="1"/>
  <c r="E78" i="81"/>
  <c r="F78" i="81" s="1"/>
  <c r="M77" i="81"/>
  <c r="N77" i="81" s="1"/>
  <c r="K77" i="81"/>
  <c r="L77" i="81" s="1"/>
  <c r="I77" i="81"/>
  <c r="J77" i="81" s="1"/>
  <c r="G77" i="81"/>
  <c r="H77" i="81" s="1"/>
  <c r="E77" i="81"/>
  <c r="F77" i="81" s="1"/>
  <c r="M76" i="81"/>
  <c r="N76" i="81" s="1"/>
  <c r="K76" i="81"/>
  <c r="L76" i="81" s="1"/>
  <c r="I76" i="81"/>
  <c r="J76" i="81" s="1"/>
  <c r="G76" i="81"/>
  <c r="H76" i="81" s="1"/>
  <c r="E76" i="81"/>
  <c r="F76" i="81" s="1"/>
  <c r="M75" i="81"/>
  <c r="N75" i="81" s="1"/>
  <c r="K75" i="81"/>
  <c r="L75" i="81" s="1"/>
  <c r="I75" i="81"/>
  <c r="J75" i="81" s="1"/>
  <c r="G75" i="81"/>
  <c r="H75" i="81" s="1"/>
  <c r="E75" i="81"/>
  <c r="F75" i="81" s="1"/>
  <c r="Q75" i="81" s="1"/>
  <c r="M74" i="81"/>
  <c r="N74" i="81" s="1"/>
  <c r="K74" i="81"/>
  <c r="L74" i="81" s="1"/>
  <c r="I74" i="81"/>
  <c r="J74" i="81" s="1"/>
  <c r="G74" i="81"/>
  <c r="H74" i="81" s="1"/>
  <c r="E74" i="81"/>
  <c r="F74" i="81" s="1"/>
  <c r="M73" i="81"/>
  <c r="N73" i="81" s="1"/>
  <c r="K73" i="81"/>
  <c r="L73" i="81" s="1"/>
  <c r="I73" i="81"/>
  <c r="J73" i="81" s="1"/>
  <c r="G73" i="81"/>
  <c r="H73" i="81" s="1"/>
  <c r="E73" i="81"/>
  <c r="F73" i="81" s="1"/>
  <c r="M72" i="81"/>
  <c r="N72" i="81" s="1"/>
  <c r="K72" i="81"/>
  <c r="L72" i="81" s="1"/>
  <c r="I72" i="81"/>
  <c r="J72" i="81" s="1"/>
  <c r="G72" i="81"/>
  <c r="H72" i="81" s="1"/>
  <c r="E72" i="81"/>
  <c r="F72" i="81" s="1"/>
  <c r="M71" i="81"/>
  <c r="N71" i="81" s="1"/>
  <c r="K71" i="81"/>
  <c r="L71" i="81" s="1"/>
  <c r="I71" i="81"/>
  <c r="J71" i="81" s="1"/>
  <c r="G71" i="81"/>
  <c r="H71" i="81" s="1"/>
  <c r="E71" i="81"/>
  <c r="F71" i="81" s="1"/>
  <c r="Q71" i="81" s="1"/>
  <c r="M70" i="81"/>
  <c r="N70" i="81" s="1"/>
  <c r="K70" i="81"/>
  <c r="L70" i="81" s="1"/>
  <c r="I70" i="81"/>
  <c r="J70" i="81" s="1"/>
  <c r="G70" i="81"/>
  <c r="H70" i="81" s="1"/>
  <c r="Q70" i="81" s="1"/>
  <c r="E70" i="81"/>
  <c r="F70" i="81" s="1"/>
  <c r="M69" i="81"/>
  <c r="N69" i="81" s="1"/>
  <c r="K69" i="81"/>
  <c r="L69" i="81" s="1"/>
  <c r="I69" i="81"/>
  <c r="J69" i="81" s="1"/>
  <c r="G69" i="81"/>
  <c r="H69" i="81" s="1"/>
  <c r="E69" i="81"/>
  <c r="F69" i="81" s="1"/>
  <c r="M68" i="81"/>
  <c r="N68" i="81" s="1"/>
  <c r="K68" i="81"/>
  <c r="L68" i="81" s="1"/>
  <c r="I68" i="81"/>
  <c r="J68" i="81" s="1"/>
  <c r="G68" i="81"/>
  <c r="H68" i="81" s="1"/>
  <c r="E68" i="81"/>
  <c r="F68" i="81" s="1"/>
  <c r="M67" i="81"/>
  <c r="N67" i="81" s="1"/>
  <c r="K67" i="81"/>
  <c r="L67" i="81" s="1"/>
  <c r="I67" i="81"/>
  <c r="J67" i="81" s="1"/>
  <c r="G67" i="81"/>
  <c r="H67" i="81" s="1"/>
  <c r="E67" i="81"/>
  <c r="F67" i="81" s="1"/>
  <c r="Q67" i="81" s="1"/>
  <c r="M66" i="81"/>
  <c r="N66" i="81" s="1"/>
  <c r="K66" i="81"/>
  <c r="L66" i="81" s="1"/>
  <c r="I66" i="81"/>
  <c r="J66" i="81" s="1"/>
  <c r="G66" i="81"/>
  <c r="H66" i="81" s="1"/>
  <c r="E66" i="81"/>
  <c r="F66" i="81" s="1"/>
  <c r="M65" i="81"/>
  <c r="N65" i="81" s="1"/>
  <c r="K65" i="81"/>
  <c r="L65" i="81" s="1"/>
  <c r="I65" i="81"/>
  <c r="J65" i="81" s="1"/>
  <c r="G65" i="81"/>
  <c r="H65" i="81" s="1"/>
  <c r="E65" i="81"/>
  <c r="F65" i="81" s="1"/>
  <c r="M64" i="81"/>
  <c r="N64" i="81" s="1"/>
  <c r="K64" i="81"/>
  <c r="L64" i="81" s="1"/>
  <c r="I64" i="81"/>
  <c r="J64" i="81" s="1"/>
  <c r="G64" i="81"/>
  <c r="H64" i="81" s="1"/>
  <c r="E64" i="81"/>
  <c r="F64" i="81" s="1"/>
  <c r="M63" i="81"/>
  <c r="N63" i="81" s="1"/>
  <c r="K63" i="81"/>
  <c r="L63" i="81" s="1"/>
  <c r="I63" i="81"/>
  <c r="J63" i="81" s="1"/>
  <c r="G63" i="81"/>
  <c r="H63" i="81" s="1"/>
  <c r="E63" i="81"/>
  <c r="F63" i="81" s="1"/>
  <c r="Q63" i="81" s="1"/>
  <c r="M62" i="81"/>
  <c r="N62" i="81" s="1"/>
  <c r="K62" i="81"/>
  <c r="L62" i="81" s="1"/>
  <c r="I62" i="81"/>
  <c r="J62" i="81" s="1"/>
  <c r="G62" i="81"/>
  <c r="H62" i="81" s="1"/>
  <c r="E62" i="81"/>
  <c r="F62" i="81" s="1"/>
  <c r="M61" i="81"/>
  <c r="N61" i="81" s="1"/>
  <c r="K61" i="81"/>
  <c r="L61" i="81" s="1"/>
  <c r="I61" i="81"/>
  <c r="J61" i="81" s="1"/>
  <c r="G61" i="81"/>
  <c r="H61" i="81" s="1"/>
  <c r="E61" i="81"/>
  <c r="F61" i="81" s="1"/>
  <c r="M60" i="81"/>
  <c r="N60" i="81" s="1"/>
  <c r="K60" i="81"/>
  <c r="L60" i="81" s="1"/>
  <c r="I60" i="81"/>
  <c r="J60" i="81" s="1"/>
  <c r="G60" i="81"/>
  <c r="H60" i="81" s="1"/>
  <c r="E60" i="81"/>
  <c r="F60" i="81" s="1"/>
  <c r="M59" i="81"/>
  <c r="N59" i="81" s="1"/>
  <c r="K59" i="81"/>
  <c r="L59" i="81" s="1"/>
  <c r="I59" i="81"/>
  <c r="J59" i="81" s="1"/>
  <c r="G59" i="81"/>
  <c r="H59" i="81" s="1"/>
  <c r="E59" i="81"/>
  <c r="F59" i="81" s="1"/>
  <c r="Q59" i="81" s="1"/>
  <c r="M58" i="81"/>
  <c r="N58" i="81" s="1"/>
  <c r="K58" i="81"/>
  <c r="L58" i="81" s="1"/>
  <c r="I58" i="81"/>
  <c r="J58" i="81" s="1"/>
  <c r="G58" i="81"/>
  <c r="H58" i="81" s="1"/>
  <c r="E58" i="81"/>
  <c r="F58" i="81" s="1"/>
  <c r="M57" i="81"/>
  <c r="N57" i="81" s="1"/>
  <c r="K57" i="81"/>
  <c r="L57" i="81" s="1"/>
  <c r="I57" i="81"/>
  <c r="J57" i="81" s="1"/>
  <c r="G57" i="81"/>
  <c r="H57" i="81" s="1"/>
  <c r="E57" i="81"/>
  <c r="F57" i="81" s="1"/>
  <c r="M56" i="81"/>
  <c r="N56" i="81" s="1"/>
  <c r="K56" i="81"/>
  <c r="L56" i="81" s="1"/>
  <c r="I56" i="81"/>
  <c r="J56" i="81" s="1"/>
  <c r="G56" i="81"/>
  <c r="H56" i="81" s="1"/>
  <c r="E56" i="81"/>
  <c r="F56" i="81" s="1"/>
  <c r="M55" i="81"/>
  <c r="N55" i="81" s="1"/>
  <c r="K55" i="81"/>
  <c r="L55" i="81" s="1"/>
  <c r="I55" i="81"/>
  <c r="J55" i="81" s="1"/>
  <c r="G55" i="81"/>
  <c r="H55" i="81" s="1"/>
  <c r="E55" i="81"/>
  <c r="F55" i="81" s="1"/>
  <c r="Q55" i="81" s="1"/>
  <c r="M54" i="81"/>
  <c r="N54" i="81" s="1"/>
  <c r="K54" i="81"/>
  <c r="L54" i="81" s="1"/>
  <c r="I54" i="81"/>
  <c r="J54" i="81" s="1"/>
  <c r="G54" i="81"/>
  <c r="H54" i="81" s="1"/>
  <c r="E54" i="81"/>
  <c r="F54" i="81" s="1"/>
  <c r="M53" i="81"/>
  <c r="N53" i="81" s="1"/>
  <c r="K53" i="81"/>
  <c r="L53" i="81" s="1"/>
  <c r="I53" i="81"/>
  <c r="J53" i="81" s="1"/>
  <c r="G53" i="81"/>
  <c r="H53" i="81" s="1"/>
  <c r="E53" i="81"/>
  <c r="F53" i="81" s="1"/>
  <c r="M52" i="81"/>
  <c r="N52" i="81" s="1"/>
  <c r="K52" i="81"/>
  <c r="L52" i="81" s="1"/>
  <c r="I52" i="81"/>
  <c r="J52" i="81" s="1"/>
  <c r="G52" i="81"/>
  <c r="H52" i="81" s="1"/>
  <c r="E52" i="81"/>
  <c r="F52" i="81" s="1"/>
  <c r="M51" i="81"/>
  <c r="N51" i="81" s="1"/>
  <c r="K51" i="81"/>
  <c r="L51" i="81" s="1"/>
  <c r="I51" i="81"/>
  <c r="J51" i="81" s="1"/>
  <c r="G51" i="81"/>
  <c r="H51" i="81" s="1"/>
  <c r="E51" i="81"/>
  <c r="F51" i="81" s="1"/>
  <c r="Q51" i="81" s="1"/>
  <c r="M50" i="81"/>
  <c r="N50" i="81" s="1"/>
  <c r="K50" i="81"/>
  <c r="L50" i="81" s="1"/>
  <c r="I50" i="81"/>
  <c r="J50" i="81" s="1"/>
  <c r="G50" i="81"/>
  <c r="H50" i="81" s="1"/>
  <c r="E50" i="81"/>
  <c r="F50" i="81" s="1"/>
  <c r="M49" i="81"/>
  <c r="N49" i="81" s="1"/>
  <c r="K49" i="81"/>
  <c r="L49" i="81" s="1"/>
  <c r="I49" i="81"/>
  <c r="J49" i="81" s="1"/>
  <c r="G49" i="81"/>
  <c r="H49" i="81" s="1"/>
  <c r="E49" i="81"/>
  <c r="F49" i="81" s="1"/>
  <c r="M48" i="81"/>
  <c r="N48" i="81" s="1"/>
  <c r="K48" i="81"/>
  <c r="L48" i="81" s="1"/>
  <c r="I48" i="81"/>
  <c r="J48" i="81" s="1"/>
  <c r="G48" i="81"/>
  <c r="H48" i="81" s="1"/>
  <c r="E48" i="81"/>
  <c r="F48" i="81" s="1"/>
  <c r="M47" i="81"/>
  <c r="N47" i="81" s="1"/>
  <c r="K47" i="81"/>
  <c r="L47" i="81" s="1"/>
  <c r="I47" i="81"/>
  <c r="J47" i="81" s="1"/>
  <c r="G47" i="81"/>
  <c r="H47" i="81" s="1"/>
  <c r="E47" i="81"/>
  <c r="F47" i="81" s="1"/>
  <c r="Q47" i="81" s="1"/>
  <c r="M46" i="81"/>
  <c r="N46" i="81" s="1"/>
  <c r="K46" i="81"/>
  <c r="L46" i="81" s="1"/>
  <c r="I46" i="81"/>
  <c r="J46" i="81" s="1"/>
  <c r="G46" i="81"/>
  <c r="H46" i="81" s="1"/>
  <c r="E46" i="81"/>
  <c r="F46" i="81" s="1"/>
  <c r="M45" i="81"/>
  <c r="N45" i="81" s="1"/>
  <c r="K45" i="81"/>
  <c r="L45" i="81" s="1"/>
  <c r="I45" i="81"/>
  <c r="J45" i="81" s="1"/>
  <c r="G45" i="81"/>
  <c r="H45" i="81" s="1"/>
  <c r="E45" i="81"/>
  <c r="F45" i="81" s="1"/>
  <c r="M44" i="81"/>
  <c r="N44" i="81" s="1"/>
  <c r="K44" i="81"/>
  <c r="L44" i="81" s="1"/>
  <c r="I44" i="81"/>
  <c r="J44" i="81" s="1"/>
  <c r="G44" i="81"/>
  <c r="H44" i="81" s="1"/>
  <c r="Q44" i="81" s="1"/>
  <c r="E44" i="81"/>
  <c r="F44" i="81" s="1"/>
  <c r="M43" i="81"/>
  <c r="N43" i="81" s="1"/>
  <c r="K43" i="81"/>
  <c r="L43" i="81" s="1"/>
  <c r="I43" i="81"/>
  <c r="J43" i="81" s="1"/>
  <c r="G43" i="81"/>
  <c r="H43" i="81" s="1"/>
  <c r="E43" i="81"/>
  <c r="F43" i="81" s="1"/>
  <c r="Q43" i="81" s="1"/>
  <c r="K42" i="81"/>
  <c r="L42" i="81" s="1"/>
  <c r="I42" i="81"/>
  <c r="J42" i="81" s="1"/>
  <c r="G42" i="81"/>
  <c r="H42" i="81" s="1"/>
  <c r="E42" i="81"/>
  <c r="F42" i="81" s="1"/>
  <c r="M41" i="81"/>
  <c r="N41" i="81" s="1"/>
  <c r="K41" i="81"/>
  <c r="L41" i="81" s="1"/>
  <c r="I41" i="81"/>
  <c r="J41" i="81" s="1"/>
  <c r="G41" i="81"/>
  <c r="H41" i="81" s="1"/>
  <c r="E41" i="81"/>
  <c r="F41" i="81" s="1"/>
  <c r="Q41" i="81" s="1"/>
  <c r="M40" i="81"/>
  <c r="N40" i="81" s="1"/>
  <c r="K40" i="81"/>
  <c r="L40" i="81" s="1"/>
  <c r="I40" i="81"/>
  <c r="J40" i="81" s="1"/>
  <c r="G40" i="81"/>
  <c r="H40" i="81" s="1"/>
  <c r="E40" i="81"/>
  <c r="F40" i="81" s="1"/>
  <c r="Q40" i="81" s="1"/>
  <c r="M39" i="81"/>
  <c r="N39" i="81" s="1"/>
  <c r="K39" i="81"/>
  <c r="L39" i="81" s="1"/>
  <c r="I39" i="81"/>
  <c r="J39" i="81" s="1"/>
  <c r="G39" i="81"/>
  <c r="H39" i="81" s="1"/>
  <c r="E39" i="81"/>
  <c r="F39" i="81" s="1"/>
  <c r="Q39" i="81" s="1"/>
  <c r="M38" i="81"/>
  <c r="N38" i="81" s="1"/>
  <c r="K38" i="81"/>
  <c r="L38" i="81" s="1"/>
  <c r="I38" i="81"/>
  <c r="J38" i="81" s="1"/>
  <c r="G38" i="81"/>
  <c r="H38" i="81" s="1"/>
  <c r="E38" i="81"/>
  <c r="F38" i="81" s="1"/>
  <c r="M37" i="81"/>
  <c r="N37" i="81" s="1"/>
  <c r="K37" i="81"/>
  <c r="L37" i="81" s="1"/>
  <c r="I37" i="81"/>
  <c r="J37" i="81" s="1"/>
  <c r="G37" i="81"/>
  <c r="H37" i="81" s="1"/>
  <c r="E37" i="81"/>
  <c r="F37" i="81" s="1"/>
  <c r="Q37" i="81" s="1"/>
  <c r="M36" i="81"/>
  <c r="N36" i="81" s="1"/>
  <c r="K36" i="81"/>
  <c r="L36" i="81" s="1"/>
  <c r="I36" i="81"/>
  <c r="J36" i="81" s="1"/>
  <c r="G36" i="81"/>
  <c r="H36" i="81" s="1"/>
  <c r="E36" i="81"/>
  <c r="F36" i="81" s="1"/>
  <c r="Q36" i="81" s="1"/>
  <c r="M35" i="81"/>
  <c r="N35" i="81" s="1"/>
  <c r="K35" i="81"/>
  <c r="L35" i="81" s="1"/>
  <c r="I35" i="81"/>
  <c r="J35" i="81" s="1"/>
  <c r="G35" i="81"/>
  <c r="H35" i="81" s="1"/>
  <c r="Q35" i="81" s="1"/>
  <c r="E35" i="81"/>
  <c r="F35" i="81" s="1"/>
  <c r="M34" i="81"/>
  <c r="N34" i="81" s="1"/>
  <c r="K34" i="81"/>
  <c r="L34" i="81" s="1"/>
  <c r="I34" i="81"/>
  <c r="J34" i="81" s="1"/>
  <c r="G34" i="81"/>
  <c r="H34" i="81" s="1"/>
  <c r="E34" i="81"/>
  <c r="F34" i="81" s="1"/>
  <c r="M33" i="81"/>
  <c r="N33" i="81" s="1"/>
  <c r="K33" i="81"/>
  <c r="L33" i="81" s="1"/>
  <c r="I33" i="81"/>
  <c r="J33" i="81" s="1"/>
  <c r="G33" i="81"/>
  <c r="H33" i="81" s="1"/>
  <c r="E33" i="81"/>
  <c r="F33" i="81" s="1"/>
  <c r="Q33" i="81" s="1"/>
  <c r="M32" i="81"/>
  <c r="N32" i="81" s="1"/>
  <c r="K32" i="81"/>
  <c r="L32" i="81" s="1"/>
  <c r="I32" i="81"/>
  <c r="J32" i="81" s="1"/>
  <c r="G32" i="81"/>
  <c r="H32" i="81" s="1"/>
  <c r="E32" i="81"/>
  <c r="F32" i="81" s="1"/>
  <c r="Q32" i="81" s="1"/>
  <c r="M31" i="81"/>
  <c r="N31" i="81" s="1"/>
  <c r="K31" i="81"/>
  <c r="L31" i="81" s="1"/>
  <c r="I31" i="81"/>
  <c r="J31" i="81" s="1"/>
  <c r="G31" i="81"/>
  <c r="H31" i="81" s="1"/>
  <c r="E31" i="81"/>
  <c r="F31" i="81" s="1"/>
  <c r="M30" i="81"/>
  <c r="N30" i="81" s="1"/>
  <c r="K30" i="81"/>
  <c r="L30" i="81" s="1"/>
  <c r="I30" i="81"/>
  <c r="J30" i="81" s="1"/>
  <c r="G30" i="81"/>
  <c r="H30" i="81" s="1"/>
  <c r="E30" i="81"/>
  <c r="F30" i="81" s="1"/>
  <c r="M29" i="81"/>
  <c r="N29" i="81" s="1"/>
  <c r="K29" i="81"/>
  <c r="L29" i="81" s="1"/>
  <c r="I29" i="81"/>
  <c r="J29" i="81" s="1"/>
  <c r="G29" i="81"/>
  <c r="H29" i="81" s="1"/>
  <c r="E29" i="81"/>
  <c r="F29" i="81" s="1"/>
  <c r="Q29" i="81" s="1"/>
  <c r="M28" i="81"/>
  <c r="N28" i="81" s="1"/>
  <c r="K28" i="81"/>
  <c r="L28" i="81" s="1"/>
  <c r="I28" i="81"/>
  <c r="J28" i="81" s="1"/>
  <c r="G28" i="81"/>
  <c r="H28" i="81" s="1"/>
  <c r="E28" i="81"/>
  <c r="F28" i="81" s="1"/>
  <c r="Q28" i="81" s="1"/>
  <c r="M27" i="81"/>
  <c r="N27" i="81" s="1"/>
  <c r="K27" i="81"/>
  <c r="L27" i="81" s="1"/>
  <c r="I27" i="81"/>
  <c r="J27" i="81" s="1"/>
  <c r="G27" i="81"/>
  <c r="H27" i="81" s="1"/>
  <c r="E27" i="81"/>
  <c r="F27" i="81" s="1"/>
  <c r="M26" i="81"/>
  <c r="N26" i="81" s="1"/>
  <c r="K26" i="81"/>
  <c r="L26" i="81" s="1"/>
  <c r="I26" i="81"/>
  <c r="J26" i="81" s="1"/>
  <c r="G26" i="81"/>
  <c r="H26" i="81" s="1"/>
  <c r="E26" i="81"/>
  <c r="F26" i="81" s="1"/>
  <c r="Q26" i="81" s="1"/>
  <c r="M25" i="81"/>
  <c r="N25" i="81" s="1"/>
  <c r="K25" i="81"/>
  <c r="L25" i="81" s="1"/>
  <c r="I25" i="81"/>
  <c r="J25" i="81" s="1"/>
  <c r="G25" i="81"/>
  <c r="H25" i="81" s="1"/>
  <c r="E25" i="81"/>
  <c r="F25" i="81" s="1"/>
  <c r="Q25" i="81" s="1"/>
  <c r="M24" i="81"/>
  <c r="N24" i="81" s="1"/>
  <c r="K24" i="81"/>
  <c r="L24" i="81" s="1"/>
  <c r="I24" i="81"/>
  <c r="J24" i="81" s="1"/>
  <c r="G24" i="81"/>
  <c r="H24" i="81" s="1"/>
  <c r="Q24" i="81" s="1"/>
  <c r="E24" i="81"/>
  <c r="F24" i="81" s="1"/>
  <c r="M23" i="81"/>
  <c r="N23" i="81" s="1"/>
  <c r="K23" i="81"/>
  <c r="L23" i="81" s="1"/>
  <c r="I23" i="81"/>
  <c r="J23" i="81" s="1"/>
  <c r="G23" i="81"/>
  <c r="H23" i="81" s="1"/>
  <c r="E23" i="81"/>
  <c r="F23" i="81" s="1"/>
  <c r="Q23" i="81" s="1"/>
  <c r="M22" i="81"/>
  <c r="N22" i="81" s="1"/>
  <c r="K22" i="81"/>
  <c r="L22" i="81" s="1"/>
  <c r="I22" i="81"/>
  <c r="J22" i="81" s="1"/>
  <c r="G22" i="81"/>
  <c r="H22" i="81" s="1"/>
  <c r="E22" i="81"/>
  <c r="F22" i="81" s="1"/>
  <c r="Q22" i="81" s="1"/>
  <c r="M21" i="81"/>
  <c r="N21" i="81" s="1"/>
  <c r="K21" i="81"/>
  <c r="L21" i="81" s="1"/>
  <c r="I21" i="81"/>
  <c r="J21" i="81" s="1"/>
  <c r="G21" i="81"/>
  <c r="H21" i="81" s="1"/>
  <c r="E21" i="81"/>
  <c r="F21" i="81" s="1"/>
  <c r="M20" i="81"/>
  <c r="N20" i="81" s="1"/>
  <c r="K20" i="81"/>
  <c r="L20" i="81" s="1"/>
  <c r="I20" i="81"/>
  <c r="J20" i="81" s="1"/>
  <c r="G20" i="81"/>
  <c r="H20" i="81" s="1"/>
  <c r="Q20" i="81" s="1"/>
  <c r="E20" i="81"/>
  <c r="F20" i="81" s="1"/>
  <c r="M19" i="81"/>
  <c r="N19" i="81" s="1"/>
  <c r="K19" i="81"/>
  <c r="L19" i="81" s="1"/>
  <c r="I19" i="81"/>
  <c r="J19" i="81" s="1"/>
  <c r="G19" i="81"/>
  <c r="H19" i="81" s="1"/>
  <c r="E19" i="81"/>
  <c r="F19" i="81" s="1"/>
  <c r="Q19" i="81" s="1"/>
  <c r="M18" i="81"/>
  <c r="N18" i="81" s="1"/>
  <c r="K18" i="81"/>
  <c r="L18" i="81" s="1"/>
  <c r="I18" i="81"/>
  <c r="J18" i="81" s="1"/>
  <c r="G18" i="81"/>
  <c r="H18" i="81" s="1"/>
  <c r="E18" i="81"/>
  <c r="F18" i="81" s="1"/>
  <c r="M17" i="81"/>
  <c r="N17" i="81" s="1"/>
  <c r="K17" i="81"/>
  <c r="L17" i="81" s="1"/>
  <c r="I17" i="81"/>
  <c r="J17" i="81" s="1"/>
  <c r="G17" i="81"/>
  <c r="H17" i="81" s="1"/>
  <c r="E17" i="81"/>
  <c r="F17" i="81" s="1"/>
  <c r="Q17" i="81" s="1"/>
  <c r="M16" i="81"/>
  <c r="N16" i="81" s="1"/>
  <c r="K16" i="81"/>
  <c r="L16" i="81" s="1"/>
  <c r="I16" i="81"/>
  <c r="J16" i="81" s="1"/>
  <c r="G16" i="81"/>
  <c r="H16" i="81" s="1"/>
  <c r="E16" i="81"/>
  <c r="F16" i="81" s="1"/>
  <c r="M15" i="81"/>
  <c r="N15" i="81" s="1"/>
  <c r="K15" i="81"/>
  <c r="L15" i="81" s="1"/>
  <c r="I15" i="81"/>
  <c r="J15" i="81" s="1"/>
  <c r="G15" i="81"/>
  <c r="H15" i="81" s="1"/>
  <c r="E15" i="81"/>
  <c r="F15" i="81" s="1"/>
  <c r="M14" i="81"/>
  <c r="N14" i="81" s="1"/>
  <c r="K14" i="81"/>
  <c r="L14" i="81" s="1"/>
  <c r="I14" i="81"/>
  <c r="J14" i="81" s="1"/>
  <c r="G14" i="81"/>
  <c r="H14" i="81" s="1"/>
  <c r="E14" i="81"/>
  <c r="F14" i="81" s="1"/>
  <c r="M13" i="81"/>
  <c r="N13" i="81" s="1"/>
  <c r="K13" i="81"/>
  <c r="L13" i="81" s="1"/>
  <c r="I13" i="81"/>
  <c r="J13" i="81" s="1"/>
  <c r="G13" i="81"/>
  <c r="H13" i="81" s="1"/>
  <c r="E13" i="81"/>
  <c r="F13" i="81" s="1"/>
  <c r="Q13" i="81" s="1"/>
  <c r="M12" i="81"/>
  <c r="N12" i="81" s="1"/>
  <c r="K12" i="81"/>
  <c r="L12" i="81" s="1"/>
  <c r="I12" i="81"/>
  <c r="J12" i="81" s="1"/>
  <c r="G12" i="81"/>
  <c r="H12" i="81" s="1"/>
  <c r="Q12" i="81" s="1"/>
  <c r="E12" i="81"/>
  <c r="F12" i="81" s="1"/>
  <c r="M11" i="81"/>
  <c r="N11" i="81" s="1"/>
  <c r="K11" i="81"/>
  <c r="L11" i="81" s="1"/>
  <c r="I11" i="81"/>
  <c r="J11" i="81" s="1"/>
  <c r="G11" i="81"/>
  <c r="H11" i="81" s="1"/>
  <c r="E11" i="81"/>
  <c r="F11" i="81" s="1"/>
  <c r="Q11" i="81" s="1"/>
  <c r="M10" i="81"/>
  <c r="N10" i="81" s="1"/>
  <c r="K10" i="81"/>
  <c r="L10" i="81" s="1"/>
  <c r="I10" i="81"/>
  <c r="J10" i="81" s="1"/>
  <c r="G10" i="81"/>
  <c r="H10" i="81" s="1"/>
  <c r="E10" i="81"/>
  <c r="F10" i="81" s="1"/>
  <c r="M9" i="81"/>
  <c r="N9" i="81" s="1"/>
  <c r="K9" i="81"/>
  <c r="L9" i="81" s="1"/>
  <c r="I9" i="81"/>
  <c r="J9" i="81" s="1"/>
  <c r="G9" i="81"/>
  <c r="H9" i="81" s="1"/>
  <c r="E9" i="81"/>
  <c r="F9" i="81" s="1"/>
  <c r="M8" i="81"/>
  <c r="N8" i="81" s="1"/>
  <c r="K8" i="81"/>
  <c r="L8" i="81" s="1"/>
  <c r="I8" i="81"/>
  <c r="J8" i="81" s="1"/>
  <c r="G8" i="81"/>
  <c r="H8" i="81" s="1"/>
  <c r="E8" i="81"/>
  <c r="F8" i="81" s="1"/>
  <c r="M7" i="81"/>
  <c r="N7" i="81" s="1"/>
  <c r="K7" i="81"/>
  <c r="L7" i="81" s="1"/>
  <c r="I7" i="81"/>
  <c r="J7" i="81" s="1"/>
  <c r="G7" i="81"/>
  <c r="H7" i="81" s="1"/>
  <c r="E7" i="81"/>
  <c r="F7" i="81" s="1"/>
  <c r="Q7" i="81" s="1"/>
  <c r="M6" i="81"/>
  <c r="N6" i="81" s="1"/>
  <c r="K6" i="81"/>
  <c r="L6" i="81" s="1"/>
  <c r="I6" i="81"/>
  <c r="J6" i="81" s="1"/>
  <c r="G6" i="81"/>
  <c r="H6" i="81" s="1"/>
  <c r="E6" i="81"/>
  <c r="F6" i="81" s="1"/>
  <c r="Q6" i="81" s="1"/>
  <c r="M5" i="81"/>
  <c r="K5" i="81"/>
  <c r="I5" i="81"/>
  <c r="G5" i="81"/>
  <c r="E5" i="81"/>
  <c r="K175" i="81" l="1"/>
  <c r="L5" i="81"/>
  <c r="L175" i="81" s="1"/>
  <c r="Q8" i="81"/>
  <c r="S28" i="81"/>
  <c r="R28" i="81"/>
  <c r="S32" i="81"/>
  <c r="R32" i="81"/>
  <c r="S35" i="81"/>
  <c r="R35" i="81"/>
  <c r="R36" i="81"/>
  <c r="T36" i="81" s="1"/>
  <c r="U36" i="81" s="1"/>
  <c r="S36" i="81"/>
  <c r="R39" i="81"/>
  <c r="S39" i="81"/>
  <c r="S43" i="81"/>
  <c r="R43" i="81"/>
  <c r="T43" i="81" s="1"/>
  <c r="U43" i="81" s="1"/>
  <c r="S47" i="81"/>
  <c r="R47" i="81"/>
  <c r="T47" i="81" s="1"/>
  <c r="U47" i="81" s="1"/>
  <c r="R51" i="81"/>
  <c r="S51" i="81"/>
  <c r="S55" i="81"/>
  <c r="R55" i="81"/>
  <c r="T55" i="81" s="1"/>
  <c r="U55" i="81" s="1"/>
  <c r="S59" i="81"/>
  <c r="R59" i="81"/>
  <c r="T59" i="81" s="1"/>
  <c r="U59" i="81" s="1"/>
  <c r="R63" i="81"/>
  <c r="S63" i="81"/>
  <c r="S67" i="81"/>
  <c r="R67" i="81"/>
  <c r="T67" i="81" s="1"/>
  <c r="U67" i="81" s="1"/>
  <c r="R70" i="81"/>
  <c r="T70" i="81" s="1"/>
  <c r="U70" i="81" s="1"/>
  <c r="S70" i="81"/>
  <c r="R71" i="81"/>
  <c r="T71" i="81" s="1"/>
  <c r="U71" i="81" s="1"/>
  <c r="S71" i="81"/>
  <c r="S75" i="81"/>
  <c r="R75" i="81"/>
  <c r="T75" i="81" s="1"/>
  <c r="U75" i="81" s="1"/>
  <c r="S79" i="81"/>
  <c r="R79" i="81"/>
  <c r="T79" i="81" s="1"/>
  <c r="U79" i="81" s="1"/>
  <c r="S83" i="81"/>
  <c r="R83" i="81"/>
  <c r="T83" i="81" s="1"/>
  <c r="U83" i="81" s="1"/>
  <c r="R87" i="81"/>
  <c r="S87" i="81"/>
  <c r="E175" i="81"/>
  <c r="F5" i="81"/>
  <c r="M175" i="81"/>
  <c r="N5" i="81"/>
  <c r="N175" i="81" s="1"/>
  <c r="R12" i="81"/>
  <c r="T12" i="81" s="1"/>
  <c r="U12" i="81" s="1"/>
  <c r="S12" i="81"/>
  <c r="R13" i="81"/>
  <c r="T13" i="81" s="1"/>
  <c r="S13" i="81"/>
  <c r="U13" i="81"/>
  <c r="Q16" i="81"/>
  <c r="S17" i="81"/>
  <c r="R17" i="81"/>
  <c r="R20" i="81"/>
  <c r="T20" i="81" s="1"/>
  <c r="U20" i="81" s="1"/>
  <c r="S20" i="81"/>
  <c r="Q21" i="81"/>
  <c r="S24" i="81"/>
  <c r="R24" i="81"/>
  <c r="T24" i="81" s="1"/>
  <c r="U24" i="81" s="1"/>
  <c r="R25" i="81"/>
  <c r="S25" i="81"/>
  <c r="S29" i="81"/>
  <c r="R29" i="81"/>
  <c r="T29" i="81" s="1"/>
  <c r="U29" i="81" s="1"/>
  <c r="R33" i="81"/>
  <c r="S33" i="81"/>
  <c r="R37" i="81"/>
  <c r="S37" i="81"/>
  <c r="R40" i="81"/>
  <c r="S40" i="81"/>
  <c r="Q72" i="81"/>
  <c r="Q76" i="81"/>
  <c r="Q80" i="81"/>
  <c r="Q84" i="81"/>
  <c r="Q88" i="81"/>
  <c r="G175" i="81"/>
  <c r="H5" i="81"/>
  <c r="H175" i="81" s="1"/>
  <c r="R6" i="81"/>
  <c r="S6" i="81"/>
  <c r="Q9" i="81"/>
  <c r="Q10" i="81"/>
  <c r="Q14" i="81"/>
  <c r="Q18" i="81"/>
  <c r="R22" i="81"/>
  <c r="S22" i="81"/>
  <c r="R26" i="81"/>
  <c r="S26" i="81"/>
  <c r="Q34" i="81"/>
  <c r="S41" i="81"/>
  <c r="R41" i="81"/>
  <c r="T41" i="81" s="1"/>
  <c r="U41" i="81" s="1"/>
  <c r="S44" i="81"/>
  <c r="R44" i="81"/>
  <c r="T44" i="81" s="1"/>
  <c r="U44" i="81" s="1"/>
  <c r="Q45" i="81"/>
  <c r="Q48" i="81"/>
  <c r="Q52" i="81"/>
  <c r="Q56" i="81"/>
  <c r="Q57" i="81"/>
  <c r="Q60" i="81"/>
  <c r="Q61" i="81"/>
  <c r="Q64" i="81"/>
  <c r="Q65" i="81"/>
  <c r="Q77" i="81"/>
  <c r="Q81" i="81"/>
  <c r="Q85" i="81"/>
  <c r="Q89" i="81"/>
  <c r="I175" i="81"/>
  <c r="J5" i="81"/>
  <c r="J175" i="81" s="1"/>
  <c r="R7" i="81"/>
  <c r="T7" i="81" s="1"/>
  <c r="U7" i="81" s="1"/>
  <c r="S7" i="81"/>
  <c r="R11" i="81"/>
  <c r="T11" i="81" s="1"/>
  <c r="U11" i="81" s="1"/>
  <c r="S11" i="81"/>
  <c r="Q15" i="81"/>
  <c r="S19" i="81"/>
  <c r="R19" i="81"/>
  <c r="T19" i="81" s="1"/>
  <c r="U19" i="81" s="1"/>
  <c r="R23" i="81"/>
  <c r="S23" i="81"/>
  <c r="Q27" i="81"/>
  <c r="Q30" i="81"/>
  <c r="Q31" i="81"/>
  <c r="Q38" i="81"/>
  <c r="Q42" i="81"/>
  <c r="Q46" i="81"/>
  <c r="Q49" i="81"/>
  <c r="Q50" i="81"/>
  <c r="Q53" i="81"/>
  <c r="Q54" i="81"/>
  <c r="Q58" i="81"/>
  <c r="Q62" i="81"/>
  <c r="Q66" i="81"/>
  <c r="Q68" i="81"/>
  <c r="Q69" i="81"/>
  <c r="Q73" i="81"/>
  <c r="Q74" i="81"/>
  <c r="Q78" i="81"/>
  <c r="Q82" i="81"/>
  <c r="Q86" i="81"/>
  <c r="Q90" i="81"/>
  <c r="S54" i="81" l="1"/>
  <c r="R54" i="81"/>
  <c r="T54" i="81" s="1"/>
  <c r="U54" i="81" s="1"/>
  <c r="R77" i="81"/>
  <c r="T77" i="81" s="1"/>
  <c r="U77" i="81"/>
  <c r="S77" i="81"/>
  <c r="R60" i="81"/>
  <c r="S60" i="81"/>
  <c r="R48" i="81"/>
  <c r="S48" i="81"/>
  <c r="S76" i="81"/>
  <c r="R76" i="81"/>
  <c r="Q5" i="81"/>
  <c r="F175" i="81"/>
  <c r="S18" i="81"/>
  <c r="R18" i="81"/>
  <c r="T18" i="81" s="1"/>
  <c r="U18" i="81" s="1"/>
  <c r="R90" i="81"/>
  <c r="S90" i="81"/>
  <c r="R74" i="81"/>
  <c r="S74" i="81"/>
  <c r="S66" i="81"/>
  <c r="R66" i="81"/>
  <c r="S53" i="81"/>
  <c r="R53" i="81"/>
  <c r="S42" i="81"/>
  <c r="R42" i="81"/>
  <c r="R27" i="81"/>
  <c r="T27" i="81" s="1"/>
  <c r="U27" i="81" s="1"/>
  <c r="S27" i="81"/>
  <c r="R89" i="81"/>
  <c r="T89" i="81" s="1"/>
  <c r="U89" i="81" s="1"/>
  <c r="S89" i="81"/>
  <c r="R65" i="81"/>
  <c r="T65" i="81" s="1"/>
  <c r="U65" i="81" s="1"/>
  <c r="S65" i="81"/>
  <c r="R57" i="81"/>
  <c r="T57" i="81" s="1"/>
  <c r="U57" i="81" s="1"/>
  <c r="S57" i="81"/>
  <c r="R45" i="81"/>
  <c r="S45" i="81"/>
  <c r="T26" i="81"/>
  <c r="U26" i="81" s="1"/>
  <c r="R14" i="81"/>
  <c r="S14" i="81"/>
  <c r="S88" i="81"/>
  <c r="U88" i="81"/>
  <c r="R88" i="81"/>
  <c r="T88" i="81" s="1"/>
  <c r="S72" i="81"/>
  <c r="R72" i="81"/>
  <c r="T37" i="81"/>
  <c r="U37" i="81" s="1"/>
  <c r="T17" i="81"/>
  <c r="U17" i="81" s="1"/>
  <c r="T51" i="81"/>
  <c r="U51" i="81" s="1"/>
  <c r="T32" i="81"/>
  <c r="U32" i="81" s="1"/>
  <c r="S8" i="81"/>
  <c r="R8" i="81"/>
  <c r="S78" i="81"/>
  <c r="R78" i="81"/>
  <c r="S46" i="81"/>
  <c r="R46" i="81"/>
  <c r="T46" i="81" s="1"/>
  <c r="U46" i="81" s="1"/>
  <c r="S30" i="81"/>
  <c r="R30" i="81"/>
  <c r="S86" i="81"/>
  <c r="R86" i="81"/>
  <c r="S62" i="81"/>
  <c r="R62" i="81"/>
  <c r="T62" i="81" s="1"/>
  <c r="U62" i="81" s="1"/>
  <c r="R38" i="81"/>
  <c r="S38" i="81"/>
  <c r="R15" i="81"/>
  <c r="S15" i="81"/>
  <c r="R85" i="81"/>
  <c r="S85" i="81"/>
  <c r="S64" i="81"/>
  <c r="R64" i="81"/>
  <c r="T64" i="81" s="1"/>
  <c r="U64" i="81" s="1"/>
  <c r="S56" i="81"/>
  <c r="R56" i="81"/>
  <c r="T56" i="81" s="1"/>
  <c r="U56" i="81" s="1"/>
  <c r="S34" i="81"/>
  <c r="R34" i="81"/>
  <c r="S10" i="81"/>
  <c r="R10" i="81"/>
  <c r="T10" i="81" s="1"/>
  <c r="U10" i="81" s="1"/>
  <c r="T6" i="81"/>
  <c r="U6" i="81" s="1"/>
  <c r="S84" i="81"/>
  <c r="R84" i="81"/>
  <c r="R21" i="81"/>
  <c r="S21" i="81"/>
  <c r="S68" i="81"/>
  <c r="R68" i="81"/>
  <c r="S73" i="81"/>
  <c r="R73" i="81"/>
  <c r="R50" i="81"/>
  <c r="T50" i="81" s="1"/>
  <c r="U50" i="81" s="1"/>
  <c r="S50" i="81"/>
  <c r="S82" i="81"/>
  <c r="R82" i="81"/>
  <c r="T82" i="81" s="1"/>
  <c r="U82" i="81" s="1"/>
  <c r="R69" i="81"/>
  <c r="S69" i="81"/>
  <c r="S58" i="81"/>
  <c r="R58" i="81"/>
  <c r="T58" i="81" s="1"/>
  <c r="U58" i="81" s="1"/>
  <c r="S49" i="81"/>
  <c r="R49" i="81"/>
  <c r="T49" i="81" s="1"/>
  <c r="U49" i="81" s="1"/>
  <c r="S31" i="81"/>
  <c r="R31" i="81"/>
  <c r="T23" i="81"/>
  <c r="U23" i="81" s="1"/>
  <c r="S81" i="81"/>
  <c r="R81" i="81"/>
  <c r="T81" i="81" s="1"/>
  <c r="U81" i="81" s="1"/>
  <c r="S61" i="81"/>
  <c r="R61" i="81"/>
  <c r="R52" i="81"/>
  <c r="S52" i="81"/>
  <c r="T22" i="81"/>
  <c r="U22" i="81" s="1"/>
  <c r="S9" i="81"/>
  <c r="R9" i="81"/>
  <c r="S80" i="81"/>
  <c r="R80" i="81"/>
  <c r="T80" i="81" s="1"/>
  <c r="U80" i="81" s="1"/>
  <c r="T40" i="81"/>
  <c r="U40" i="81" s="1"/>
  <c r="T33" i="81"/>
  <c r="U33" i="81" s="1"/>
  <c r="T25" i="81"/>
  <c r="U25" i="81" s="1"/>
  <c r="R16" i="81"/>
  <c r="T16" i="81" s="1"/>
  <c r="U16" i="81" s="1"/>
  <c r="S16" i="81"/>
  <c r="T87" i="81"/>
  <c r="U87" i="81" s="1"/>
  <c r="T63" i="81"/>
  <c r="U63" i="81" s="1"/>
  <c r="T39" i="81"/>
  <c r="U39" i="81" s="1"/>
  <c r="T35" i="81"/>
  <c r="U35" i="81" s="1"/>
  <c r="T28" i="81"/>
  <c r="U28" i="81" s="1"/>
  <c r="T61" i="81" l="1"/>
  <c r="U61" i="81" s="1"/>
  <c r="T73" i="81"/>
  <c r="U73" i="81" s="1"/>
  <c r="T84" i="81"/>
  <c r="U84" i="81" s="1"/>
  <c r="T15" i="81"/>
  <c r="U15" i="81" s="1"/>
  <c r="T30" i="81"/>
  <c r="U30" i="81" s="1"/>
  <c r="T8" i="81"/>
  <c r="U8" i="81" s="1"/>
  <c r="T53" i="81"/>
  <c r="U53" i="81" s="1"/>
  <c r="T90" i="81"/>
  <c r="U90" i="81" s="1"/>
  <c r="Q175" i="81"/>
  <c r="Q179" i="81" s="1"/>
  <c r="S175" i="81"/>
  <c r="T78" i="81"/>
  <c r="U78" i="81" s="1"/>
  <c r="T14" i="81"/>
  <c r="U14" i="81" s="1"/>
  <c r="T45" i="81"/>
  <c r="U45" i="81" s="1"/>
  <c r="T60" i="81"/>
  <c r="U60" i="81" s="1"/>
  <c r="T9" i="81"/>
  <c r="U9" i="81" s="1"/>
  <c r="T52" i="81"/>
  <c r="U52" i="81" s="1"/>
  <c r="T31" i="81"/>
  <c r="U31" i="81" s="1"/>
  <c r="T69" i="81"/>
  <c r="U69" i="81" s="1"/>
  <c r="T68" i="81"/>
  <c r="U68" i="81" s="1"/>
  <c r="T21" i="81"/>
  <c r="U21" i="81" s="1"/>
  <c r="T34" i="81"/>
  <c r="U34" i="81" s="1"/>
  <c r="T85" i="81"/>
  <c r="U85" i="81" s="1"/>
  <c r="T38" i="81"/>
  <c r="U38" i="81" s="1"/>
  <c r="T86" i="81"/>
  <c r="U86" i="81" s="1"/>
  <c r="T72" i="81"/>
  <c r="U72" i="81" s="1"/>
  <c r="T42" i="81"/>
  <c r="U42" i="81" s="1"/>
  <c r="T66" i="81"/>
  <c r="U66" i="81" s="1"/>
  <c r="T74" i="81"/>
  <c r="U74" i="81" s="1"/>
  <c r="T76" i="81"/>
  <c r="U76" i="81" s="1"/>
  <c r="T48" i="81"/>
  <c r="U48" i="81" s="1"/>
  <c r="T5" i="81" l="1"/>
  <c r="R175" i="81"/>
  <c r="T175" i="81" l="1"/>
  <c r="U5" i="81"/>
  <c r="U175" i="81" s="1"/>
  <c r="U177" i="81" s="1"/>
  <c r="U178" i="81" l="1"/>
  <c r="U179" i="81" s="1"/>
  <c r="M99" i="81" l="1"/>
  <c r="N99" i="81" s="1"/>
  <c r="K99" i="81"/>
  <c r="L99" i="81" s="1"/>
  <c r="G99" i="81"/>
  <c r="H99" i="81" s="1"/>
  <c r="E99" i="81"/>
  <c r="F99" i="81" s="1"/>
  <c r="Q99" i="81" s="1"/>
  <c r="M98" i="81"/>
  <c r="N98" i="81" s="1"/>
  <c r="K98" i="81"/>
  <c r="L98" i="81" s="1"/>
  <c r="G98" i="81"/>
  <c r="H98" i="81" s="1"/>
  <c r="E98" i="81"/>
  <c r="F98" i="81" s="1"/>
  <c r="M97" i="81"/>
  <c r="N97" i="81" s="1"/>
  <c r="K97" i="81"/>
  <c r="L97" i="81" s="1"/>
  <c r="G97" i="81"/>
  <c r="H97" i="81" s="1"/>
  <c r="E97" i="81"/>
  <c r="F97" i="81" s="1"/>
  <c r="M96" i="81"/>
  <c r="N96" i="81" s="1"/>
  <c r="K96" i="81"/>
  <c r="L96" i="81" s="1"/>
  <c r="G96" i="81"/>
  <c r="H96" i="81" s="1"/>
  <c r="E96" i="81"/>
  <c r="F96" i="81" s="1"/>
  <c r="Q96" i="81" s="1"/>
  <c r="M95" i="81"/>
  <c r="N95" i="81" s="1"/>
  <c r="K95" i="81"/>
  <c r="L95" i="81" s="1"/>
  <c r="G95" i="81"/>
  <c r="H95" i="81" s="1"/>
  <c r="E95" i="81"/>
  <c r="F95" i="81" s="1"/>
  <c r="M94" i="81"/>
  <c r="N94" i="81" s="1"/>
  <c r="K94" i="81"/>
  <c r="L94" i="81" s="1"/>
  <c r="G94" i="81"/>
  <c r="H94" i="81" s="1"/>
  <c r="E94" i="81"/>
  <c r="F94" i="81" s="1"/>
  <c r="M93" i="81"/>
  <c r="N93" i="81" s="1"/>
  <c r="K93" i="81"/>
  <c r="L93" i="81" s="1"/>
  <c r="G93" i="81"/>
  <c r="H93" i="81" s="1"/>
  <c r="E93" i="81"/>
  <c r="F93" i="81" s="1"/>
  <c r="M92" i="81"/>
  <c r="N92" i="81" s="1"/>
  <c r="K92" i="81"/>
  <c r="L92" i="81" s="1"/>
  <c r="G92" i="81"/>
  <c r="H92" i="81" s="1"/>
  <c r="E92" i="81"/>
  <c r="F92" i="81" s="1"/>
  <c r="Q92" i="81" s="1"/>
  <c r="M91" i="81"/>
  <c r="N91" i="81" s="1"/>
  <c r="K91" i="81"/>
  <c r="L91" i="81" s="1"/>
  <c r="I91" i="81"/>
  <c r="J91" i="81" s="1"/>
  <c r="G91" i="81"/>
  <c r="H91" i="81" s="1"/>
  <c r="E91" i="81"/>
  <c r="F91" i="81" s="1"/>
  <c r="Q94" i="81" l="1"/>
  <c r="Q98" i="81"/>
  <c r="Q91" i="81"/>
  <c r="Q95" i="81"/>
  <c r="S99" i="81"/>
  <c r="R99" i="81"/>
  <c r="T99" i="81" s="1"/>
  <c r="U99" i="81" s="1"/>
  <c r="R92" i="81"/>
  <c r="T92" i="81" s="1"/>
  <c r="U92" i="81" s="1"/>
  <c r="S92" i="81"/>
  <c r="R96" i="81"/>
  <c r="T96" i="81" s="1"/>
  <c r="U96" i="81" s="1"/>
  <c r="S96" i="81"/>
  <c r="Q97" i="81"/>
  <c r="Q93" i="81"/>
  <c r="R95" i="81" l="1"/>
  <c r="T95" i="81" s="1"/>
  <c r="U95" i="81" s="1"/>
  <c r="S95" i="81"/>
  <c r="R91" i="81"/>
  <c r="T91" i="81" s="1"/>
  <c r="U91" i="81" s="1"/>
  <c r="S91" i="81"/>
  <c r="R98" i="81"/>
  <c r="S98" i="81"/>
  <c r="S97" i="81"/>
  <c r="R97" i="81"/>
  <c r="S93" i="81"/>
  <c r="R93" i="81"/>
  <c r="R94" i="81"/>
  <c r="T94" i="81" s="1"/>
  <c r="U94" i="81" s="1"/>
  <c r="S94" i="81"/>
  <c r="T93" i="81" l="1"/>
  <c r="U93" i="81" s="1"/>
  <c r="T98" i="81"/>
  <c r="U98" i="81" s="1"/>
  <c r="T97" i="81"/>
  <c r="U97" i="81" s="1"/>
  <c r="M159" i="81" l="1"/>
  <c r="N159" i="81" s="1"/>
  <c r="K159" i="81"/>
  <c r="L159" i="81" s="1"/>
  <c r="Q159" i="81" s="1"/>
  <c r="G159" i="81"/>
  <c r="H159" i="81" s="1"/>
  <c r="E159" i="81"/>
  <c r="F159" i="81" s="1"/>
  <c r="M158" i="81"/>
  <c r="N158" i="81" s="1"/>
  <c r="K158" i="81"/>
  <c r="L158" i="81" s="1"/>
  <c r="G158" i="81"/>
  <c r="H158" i="81" s="1"/>
  <c r="E158" i="81"/>
  <c r="F158" i="81" s="1"/>
  <c r="Q158" i="81" s="1"/>
  <c r="M157" i="81"/>
  <c r="N157" i="81" s="1"/>
  <c r="K157" i="81"/>
  <c r="L157" i="81" s="1"/>
  <c r="G157" i="81"/>
  <c r="H157" i="81" s="1"/>
  <c r="E157" i="81"/>
  <c r="F157" i="81" s="1"/>
  <c r="M156" i="81"/>
  <c r="N156" i="81" s="1"/>
  <c r="K156" i="81"/>
  <c r="L156" i="81" s="1"/>
  <c r="G156" i="81"/>
  <c r="H156" i="81" s="1"/>
  <c r="E156" i="81"/>
  <c r="F156" i="81" s="1"/>
  <c r="M155" i="81"/>
  <c r="N155" i="81" s="1"/>
  <c r="K155" i="81"/>
  <c r="L155" i="81" s="1"/>
  <c r="G155" i="81"/>
  <c r="H155" i="81" s="1"/>
  <c r="E155" i="81"/>
  <c r="F155" i="81" s="1"/>
  <c r="M154" i="81"/>
  <c r="N154" i="81" s="1"/>
  <c r="K154" i="81"/>
  <c r="L154" i="81" s="1"/>
  <c r="G154" i="81"/>
  <c r="H154" i="81" s="1"/>
  <c r="E154" i="81"/>
  <c r="F154" i="81" s="1"/>
  <c r="Q154" i="81" s="1"/>
  <c r="M153" i="81"/>
  <c r="N153" i="81" s="1"/>
  <c r="K153" i="81"/>
  <c r="L153" i="81" s="1"/>
  <c r="G153" i="81"/>
  <c r="H153" i="81" s="1"/>
  <c r="E153" i="81"/>
  <c r="F153" i="81" s="1"/>
  <c r="M152" i="81"/>
  <c r="N152" i="81" s="1"/>
  <c r="K152" i="81"/>
  <c r="L152" i="81" s="1"/>
  <c r="G152" i="81"/>
  <c r="H152" i="81" s="1"/>
  <c r="E152" i="81"/>
  <c r="F152" i="81" s="1"/>
  <c r="M151" i="81"/>
  <c r="N151" i="81" s="1"/>
  <c r="K151" i="81"/>
  <c r="L151" i="81" s="1"/>
  <c r="G151" i="81"/>
  <c r="H151" i="81" s="1"/>
  <c r="E151" i="81"/>
  <c r="F151" i="81" s="1"/>
  <c r="Q151" i="81" s="1"/>
  <c r="M150" i="81"/>
  <c r="N150" i="81" s="1"/>
  <c r="K150" i="81"/>
  <c r="L150" i="81" s="1"/>
  <c r="G150" i="81"/>
  <c r="H150" i="81" s="1"/>
  <c r="Q150" i="81" s="1"/>
  <c r="E150" i="81"/>
  <c r="F150" i="81" s="1"/>
  <c r="M149" i="81"/>
  <c r="N149" i="81" s="1"/>
  <c r="K149" i="81"/>
  <c r="L149" i="81" s="1"/>
  <c r="G149" i="81"/>
  <c r="H149" i="81" s="1"/>
  <c r="Q149" i="81" s="1"/>
  <c r="E149" i="81"/>
  <c r="F149" i="81" s="1"/>
  <c r="M148" i="81"/>
  <c r="N148" i="81" s="1"/>
  <c r="K148" i="81"/>
  <c r="L148" i="81" s="1"/>
  <c r="G148" i="81"/>
  <c r="H148" i="81" s="1"/>
  <c r="E148" i="81"/>
  <c r="F148" i="81" s="1"/>
  <c r="Q148" i="81" s="1"/>
  <c r="M147" i="81"/>
  <c r="N147" i="81" s="1"/>
  <c r="K147" i="81"/>
  <c r="L147" i="81" s="1"/>
  <c r="G147" i="81"/>
  <c r="H147" i="81" s="1"/>
  <c r="E147" i="81"/>
  <c r="F147" i="81" s="1"/>
  <c r="Q147" i="81" s="1"/>
  <c r="M146" i="81"/>
  <c r="N146" i="81" s="1"/>
  <c r="K146" i="81"/>
  <c r="L146" i="81" s="1"/>
  <c r="G146" i="81"/>
  <c r="H146" i="81" s="1"/>
  <c r="E146" i="81"/>
  <c r="F146" i="81" s="1"/>
  <c r="M145" i="81"/>
  <c r="N145" i="81" s="1"/>
  <c r="K145" i="81"/>
  <c r="L145" i="81" s="1"/>
  <c r="G145" i="81"/>
  <c r="H145" i="81" s="1"/>
  <c r="E145" i="81"/>
  <c r="F145" i="81" s="1"/>
  <c r="M144" i="81"/>
  <c r="N144" i="81" s="1"/>
  <c r="K144" i="81"/>
  <c r="L144" i="81" s="1"/>
  <c r="G144" i="81"/>
  <c r="H144" i="81" s="1"/>
  <c r="Q144" i="81" s="1"/>
  <c r="E144" i="81"/>
  <c r="F144" i="81" s="1"/>
  <c r="M143" i="81"/>
  <c r="N143" i="81" s="1"/>
  <c r="K143" i="81"/>
  <c r="L143" i="81" s="1"/>
  <c r="G143" i="81"/>
  <c r="H143" i="81" s="1"/>
  <c r="E143" i="81"/>
  <c r="F143" i="81" s="1"/>
  <c r="Q143" i="81" s="1"/>
  <c r="M142" i="81"/>
  <c r="N142" i="81" s="1"/>
  <c r="K142" i="81"/>
  <c r="L142" i="81" s="1"/>
  <c r="G142" i="81"/>
  <c r="H142" i="81" s="1"/>
  <c r="E142" i="81"/>
  <c r="F142" i="81" s="1"/>
  <c r="M141" i="81"/>
  <c r="N141" i="81" s="1"/>
  <c r="K141" i="81"/>
  <c r="L141" i="81" s="1"/>
  <c r="G141" i="81"/>
  <c r="H141" i="81" s="1"/>
  <c r="E141" i="81"/>
  <c r="F141" i="81" s="1"/>
  <c r="M140" i="81"/>
  <c r="N140" i="81" s="1"/>
  <c r="K140" i="81"/>
  <c r="L140" i="81" s="1"/>
  <c r="G140" i="81"/>
  <c r="H140" i="81" s="1"/>
  <c r="E140" i="81"/>
  <c r="F140" i="81" s="1"/>
  <c r="M139" i="81"/>
  <c r="N139" i="81" s="1"/>
  <c r="K139" i="81"/>
  <c r="L139" i="81" s="1"/>
  <c r="G139" i="81"/>
  <c r="H139" i="81" s="1"/>
  <c r="E139" i="81"/>
  <c r="F139" i="81" s="1"/>
  <c r="M138" i="81"/>
  <c r="N138" i="81" s="1"/>
  <c r="K138" i="81"/>
  <c r="L138" i="81" s="1"/>
  <c r="G138" i="81"/>
  <c r="H138" i="81" s="1"/>
  <c r="E138" i="81"/>
  <c r="F138" i="81" s="1"/>
  <c r="Q138" i="81" s="1"/>
  <c r="M137" i="81"/>
  <c r="N137" i="81" s="1"/>
  <c r="K137" i="81"/>
  <c r="L137" i="81" s="1"/>
  <c r="G137" i="81"/>
  <c r="H137" i="81" s="1"/>
  <c r="E137" i="81"/>
  <c r="F137" i="81" s="1"/>
  <c r="M136" i="81"/>
  <c r="N136" i="81" s="1"/>
  <c r="K136" i="81"/>
  <c r="L136" i="81" s="1"/>
  <c r="G136" i="81"/>
  <c r="H136" i="81" s="1"/>
  <c r="E136" i="81"/>
  <c r="F136" i="81" s="1"/>
  <c r="M135" i="81"/>
  <c r="N135" i="81" s="1"/>
  <c r="K135" i="81"/>
  <c r="L135" i="81" s="1"/>
  <c r="G135" i="81"/>
  <c r="H135" i="81" s="1"/>
  <c r="E135" i="81"/>
  <c r="F135" i="81" s="1"/>
  <c r="Q135" i="81" s="1"/>
  <c r="M134" i="81"/>
  <c r="K134" i="81"/>
  <c r="G134" i="81"/>
  <c r="E134" i="81"/>
  <c r="M133" i="81"/>
  <c r="N133" i="81" s="1"/>
  <c r="K133" i="81"/>
  <c r="L133" i="81" s="1"/>
  <c r="G133" i="81"/>
  <c r="H133" i="81" s="1"/>
  <c r="E133" i="81"/>
  <c r="F133" i="81" s="1"/>
  <c r="M132" i="81"/>
  <c r="N132" i="81" s="1"/>
  <c r="K132" i="81"/>
  <c r="L132" i="81" s="1"/>
  <c r="G132" i="81"/>
  <c r="H132" i="81" s="1"/>
  <c r="E132" i="81"/>
  <c r="F132" i="81" s="1"/>
  <c r="M131" i="81"/>
  <c r="N131" i="81" s="1"/>
  <c r="K131" i="81"/>
  <c r="L131" i="81" s="1"/>
  <c r="G131" i="81"/>
  <c r="H131" i="81" s="1"/>
  <c r="E131" i="81"/>
  <c r="F131" i="81" s="1"/>
  <c r="Q131" i="81" s="1"/>
  <c r="M130" i="81"/>
  <c r="N130" i="81" s="1"/>
  <c r="K130" i="81"/>
  <c r="L130" i="81" s="1"/>
  <c r="G130" i="81"/>
  <c r="H130" i="81" s="1"/>
  <c r="E130" i="81"/>
  <c r="F130" i="81" s="1"/>
  <c r="M129" i="81"/>
  <c r="N129" i="81" s="1"/>
  <c r="K129" i="81"/>
  <c r="L129" i="81" s="1"/>
  <c r="G129" i="81"/>
  <c r="H129" i="81" s="1"/>
  <c r="E129" i="81"/>
  <c r="F129" i="81" s="1"/>
  <c r="Q129" i="81" s="1"/>
  <c r="M128" i="81"/>
  <c r="N128" i="81" s="1"/>
  <c r="K128" i="81"/>
  <c r="L128" i="81" s="1"/>
  <c r="G128" i="81"/>
  <c r="H128" i="81" s="1"/>
  <c r="E128" i="81"/>
  <c r="F128" i="81" s="1"/>
  <c r="M127" i="81"/>
  <c r="N127" i="81" s="1"/>
  <c r="K127" i="81"/>
  <c r="L127" i="81" s="1"/>
  <c r="G127" i="81"/>
  <c r="H127" i="81" s="1"/>
  <c r="E127" i="81"/>
  <c r="F127" i="81" s="1"/>
  <c r="Q127" i="81" s="1"/>
  <c r="M126" i="81"/>
  <c r="N126" i="81" s="1"/>
  <c r="K126" i="81"/>
  <c r="L126" i="81" s="1"/>
  <c r="G126" i="81"/>
  <c r="H126" i="81" s="1"/>
  <c r="E126" i="81"/>
  <c r="F126" i="81" s="1"/>
  <c r="M125" i="81"/>
  <c r="N125" i="81" s="1"/>
  <c r="K125" i="81"/>
  <c r="L125" i="81" s="1"/>
  <c r="G125" i="81"/>
  <c r="H125" i="81" s="1"/>
  <c r="E125" i="81"/>
  <c r="F125" i="81" s="1"/>
  <c r="M124" i="81"/>
  <c r="N124" i="81" s="1"/>
  <c r="K124" i="81"/>
  <c r="L124" i="81" s="1"/>
  <c r="G124" i="81"/>
  <c r="H124" i="81" s="1"/>
  <c r="E124" i="81"/>
  <c r="F124" i="81" s="1"/>
  <c r="Q124" i="81" s="1"/>
  <c r="M123" i="81"/>
  <c r="N123" i="81" s="1"/>
  <c r="K123" i="81"/>
  <c r="L123" i="81" s="1"/>
  <c r="G123" i="81"/>
  <c r="H123" i="81" s="1"/>
  <c r="E123" i="81"/>
  <c r="F123" i="81" s="1"/>
  <c r="Q123" i="81" s="1"/>
  <c r="M122" i="81"/>
  <c r="N122" i="81" s="1"/>
  <c r="K122" i="81"/>
  <c r="L122" i="81" s="1"/>
  <c r="G122" i="81"/>
  <c r="H122" i="81" s="1"/>
  <c r="E122" i="81"/>
  <c r="F122" i="81" s="1"/>
  <c r="M121" i="81"/>
  <c r="N121" i="81" s="1"/>
  <c r="K121" i="81"/>
  <c r="L121" i="81" s="1"/>
  <c r="G121" i="81"/>
  <c r="H121" i="81" s="1"/>
  <c r="E121" i="81"/>
  <c r="F121" i="81" s="1"/>
  <c r="M120" i="81"/>
  <c r="N120" i="81" s="1"/>
  <c r="K120" i="81"/>
  <c r="L120" i="81" s="1"/>
  <c r="G120" i="81"/>
  <c r="H120" i="81" s="1"/>
  <c r="E120" i="81"/>
  <c r="F120" i="81" s="1"/>
  <c r="Q120" i="81" s="1"/>
  <c r="M119" i="81"/>
  <c r="N119" i="81" s="1"/>
  <c r="K119" i="81"/>
  <c r="L119" i="81" s="1"/>
  <c r="G119" i="81"/>
  <c r="H119" i="81" s="1"/>
  <c r="E119" i="81"/>
  <c r="F119" i="81" s="1"/>
  <c r="M118" i="81"/>
  <c r="N118" i="81" s="1"/>
  <c r="K118" i="81"/>
  <c r="L118" i="81" s="1"/>
  <c r="G118" i="81"/>
  <c r="H118" i="81" s="1"/>
  <c r="E118" i="81"/>
  <c r="F118" i="81" s="1"/>
  <c r="M117" i="81"/>
  <c r="N117" i="81" s="1"/>
  <c r="K117" i="81"/>
  <c r="L117" i="81" s="1"/>
  <c r="G117" i="81"/>
  <c r="H117" i="81" s="1"/>
  <c r="E117" i="81"/>
  <c r="F117" i="81" s="1"/>
  <c r="M116" i="81"/>
  <c r="N116" i="81" s="1"/>
  <c r="K116" i="81"/>
  <c r="L116" i="81" s="1"/>
  <c r="G116" i="81"/>
  <c r="H116" i="81" s="1"/>
  <c r="E116" i="81"/>
  <c r="F116" i="81" s="1"/>
  <c r="Q116" i="81" s="1"/>
  <c r="M115" i="81"/>
  <c r="N115" i="81" s="1"/>
  <c r="K115" i="81"/>
  <c r="L115" i="81" s="1"/>
  <c r="G115" i="81"/>
  <c r="H115" i="81" s="1"/>
  <c r="E115" i="81"/>
  <c r="F115" i="81" s="1"/>
  <c r="M114" i="81"/>
  <c r="N114" i="81" s="1"/>
  <c r="K114" i="81"/>
  <c r="L114" i="81" s="1"/>
  <c r="G114" i="81"/>
  <c r="H114" i="81" s="1"/>
  <c r="E114" i="81"/>
  <c r="F114" i="81" s="1"/>
  <c r="M113" i="81"/>
  <c r="N113" i="81" s="1"/>
  <c r="K113" i="81"/>
  <c r="L113" i="81" s="1"/>
  <c r="G113" i="81"/>
  <c r="H113" i="81" s="1"/>
  <c r="E113" i="81"/>
  <c r="F113" i="81" s="1"/>
  <c r="Q113" i="81" s="1"/>
  <c r="M112" i="81"/>
  <c r="N112" i="81" s="1"/>
  <c r="K112" i="81"/>
  <c r="L112" i="81" s="1"/>
  <c r="G112" i="81"/>
  <c r="H112" i="81" s="1"/>
  <c r="E112" i="81"/>
  <c r="F112" i="81" s="1"/>
  <c r="Q112" i="81" s="1"/>
  <c r="M111" i="81"/>
  <c r="N111" i="81" s="1"/>
  <c r="K111" i="81"/>
  <c r="L111" i="81" s="1"/>
  <c r="G111" i="81"/>
  <c r="H111" i="81" s="1"/>
  <c r="E111" i="81"/>
  <c r="F111" i="81" s="1"/>
  <c r="M110" i="81"/>
  <c r="N110" i="81" s="1"/>
  <c r="K110" i="81"/>
  <c r="L110" i="81" s="1"/>
  <c r="G110" i="81"/>
  <c r="H110" i="81" s="1"/>
  <c r="E110" i="81"/>
  <c r="F110" i="81" s="1"/>
  <c r="M109" i="81"/>
  <c r="N109" i="81" s="1"/>
  <c r="K109" i="81"/>
  <c r="L109" i="81" s="1"/>
  <c r="G109" i="81"/>
  <c r="H109" i="81" s="1"/>
  <c r="E109" i="81"/>
  <c r="F109" i="81" s="1"/>
  <c r="M108" i="81"/>
  <c r="N108" i="81" s="1"/>
  <c r="K108" i="81"/>
  <c r="L108" i="81" s="1"/>
  <c r="G108" i="81"/>
  <c r="H108" i="81" s="1"/>
  <c r="E108" i="81"/>
  <c r="F108" i="81" s="1"/>
  <c r="M107" i="81"/>
  <c r="N107" i="81" s="1"/>
  <c r="K107" i="81"/>
  <c r="L107" i="81" s="1"/>
  <c r="G107" i="81"/>
  <c r="H107" i="81" s="1"/>
  <c r="E107" i="81"/>
  <c r="F107" i="81" s="1"/>
  <c r="M106" i="81"/>
  <c r="N106" i="81" s="1"/>
  <c r="K106" i="81"/>
  <c r="L106" i="81" s="1"/>
  <c r="G106" i="81"/>
  <c r="H106" i="81" s="1"/>
  <c r="E106" i="81"/>
  <c r="F106" i="81" s="1"/>
  <c r="M105" i="81"/>
  <c r="N105" i="81" s="1"/>
  <c r="K105" i="81"/>
  <c r="L105" i="81" s="1"/>
  <c r="G105" i="81"/>
  <c r="H105" i="81" s="1"/>
  <c r="E105" i="81"/>
  <c r="F105" i="81" s="1"/>
  <c r="M104" i="81"/>
  <c r="N104" i="81" s="1"/>
  <c r="K104" i="81"/>
  <c r="L104" i="81" s="1"/>
  <c r="G104" i="81"/>
  <c r="H104" i="81" s="1"/>
  <c r="E104" i="81"/>
  <c r="F104" i="81" s="1"/>
  <c r="M103" i="81"/>
  <c r="N103" i="81" s="1"/>
  <c r="K103" i="81"/>
  <c r="L103" i="81" s="1"/>
  <c r="G103" i="81"/>
  <c r="H103" i="81" s="1"/>
  <c r="E103" i="81"/>
  <c r="F103" i="81" s="1"/>
  <c r="M102" i="81"/>
  <c r="N102" i="81" s="1"/>
  <c r="K102" i="81"/>
  <c r="L102" i="81" s="1"/>
  <c r="G102" i="81"/>
  <c r="H102" i="81" s="1"/>
  <c r="E102" i="81"/>
  <c r="F102" i="81" s="1"/>
  <c r="M101" i="81"/>
  <c r="N101" i="81" s="1"/>
  <c r="K101" i="81"/>
  <c r="L101" i="81" s="1"/>
  <c r="G101" i="81"/>
  <c r="H101" i="81" s="1"/>
  <c r="E101" i="81"/>
  <c r="F101" i="81" s="1"/>
  <c r="Q101" i="81" s="1"/>
  <c r="M100" i="81"/>
  <c r="N100" i="81" s="1"/>
  <c r="K100" i="81"/>
  <c r="L100" i="81" s="1"/>
  <c r="G100" i="81"/>
  <c r="H100" i="81" s="1"/>
  <c r="E100" i="81"/>
  <c r="F100" i="81" s="1"/>
  <c r="Q100" i="81" l="1"/>
  <c r="I106" i="81"/>
  <c r="J106" i="81" s="1"/>
  <c r="S112" i="81"/>
  <c r="R112" i="81"/>
  <c r="S116" i="81"/>
  <c r="R116" i="81"/>
  <c r="S120" i="81"/>
  <c r="R120" i="81"/>
  <c r="T120" i="81" s="1"/>
  <c r="U120" i="81" s="1"/>
  <c r="S124" i="81"/>
  <c r="R124" i="81"/>
  <c r="T124" i="81" s="1"/>
  <c r="U124" i="81" s="1"/>
  <c r="Q125" i="81"/>
  <c r="Q128" i="81"/>
  <c r="Q136" i="81"/>
  <c r="Q140" i="81"/>
  <c r="S148" i="81"/>
  <c r="R148" i="81"/>
  <c r="Q152" i="81"/>
  <c r="Q156" i="81"/>
  <c r="S101" i="81"/>
  <c r="R101" i="81"/>
  <c r="T101" i="81" s="1"/>
  <c r="U101" i="81" s="1"/>
  <c r="I103" i="81"/>
  <c r="J103" i="81" s="1"/>
  <c r="I107" i="81"/>
  <c r="J107" i="81" s="1"/>
  <c r="S113" i="81"/>
  <c r="R113" i="81"/>
  <c r="T113" i="81" s="1"/>
  <c r="U113" i="81" s="1"/>
  <c r="Q117" i="81"/>
  <c r="Q121" i="81"/>
  <c r="S129" i="81"/>
  <c r="R129" i="81"/>
  <c r="T129" i="81" s="1"/>
  <c r="U129" i="81" s="1"/>
  <c r="Q132" i="81"/>
  <c r="L134" i="81"/>
  <c r="L177" i="81" s="1"/>
  <c r="K177" i="81"/>
  <c r="Q137" i="81"/>
  <c r="Q141" i="81"/>
  <c r="S144" i="81"/>
  <c r="R144" i="81"/>
  <c r="T144" i="81" s="1"/>
  <c r="U144" i="81" s="1"/>
  <c r="Q145" i="81"/>
  <c r="Q153" i="81"/>
  <c r="Q157" i="81"/>
  <c r="Q102" i="81"/>
  <c r="I104" i="81"/>
  <c r="J104" i="81" s="1"/>
  <c r="Q104" i="81" s="1"/>
  <c r="Q106" i="81"/>
  <c r="I108" i="81"/>
  <c r="J108" i="81" s="1"/>
  <c r="Q108" i="81" s="1"/>
  <c r="Q110" i="81"/>
  <c r="Q114" i="81"/>
  <c r="Q118" i="81"/>
  <c r="Q122" i="81"/>
  <c r="Q126" i="81"/>
  <c r="Q130" i="81"/>
  <c r="E177" i="81"/>
  <c r="F134" i="81"/>
  <c r="N134" i="81"/>
  <c r="N177" i="81" s="1"/>
  <c r="M177" i="81"/>
  <c r="R138" i="81"/>
  <c r="S138" i="81"/>
  <c r="Q139" i="81"/>
  <c r="Q142" i="81"/>
  <c r="Q146" i="81"/>
  <c r="U149" i="81"/>
  <c r="S149" i="81"/>
  <c r="R149" i="81"/>
  <c r="T149" i="81" s="1"/>
  <c r="S154" i="81"/>
  <c r="R154" i="81"/>
  <c r="T154" i="81" s="1"/>
  <c r="U154" i="81" s="1"/>
  <c r="S158" i="81"/>
  <c r="R158" i="81"/>
  <c r="T158" i="81" s="1"/>
  <c r="U158" i="81" s="1"/>
  <c r="R159" i="81"/>
  <c r="S159" i="81"/>
  <c r="Q103" i="81"/>
  <c r="I105" i="81"/>
  <c r="J105" i="81" s="1"/>
  <c r="Q105" i="81" s="1"/>
  <c r="Q107" i="81"/>
  <c r="I109" i="81"/>
  <c r="J109" i="81" s="1"/>
  <c r="Q109" i="81" s="1"/>
  <c r="Q111" i="81"/>
  <c r="Q115" i="81"/>
  <c r="Q119" i="81"/>
  <c r="S123" i="81"/>
  <c r="R123" i="81"/>
  <c r="R127" i="81"/>
  <c r="T127" i="81" s="1"/>
  <c r="U127" i="81" s="1"/>
  <c r="S127" i="81"/>
  <c r="R131" i="81"/>
  <c r="T131" i="81" s="1"/>
  <c r="U131" i="81" s="1"/>
  <c r="S131" i="81"/>
  <c r="I133" i="81"/>
  <c r="J133" i="81" s="1"/>
  <c r="Q133" i="81" s="1"/>
  <c r="G177" i="81"/>
  <c r="H134" i="81"/>
  <c r="H177" i="81" s="1"/>
  <c r="R135" i="81"/>
  <c r="T135" i="81" s="1"/>
  <c r="U135" i="81" s="1"/>
  <c r="S135" i="81"/>
  <c r="S143" i="81"/>
  <c r="R143" i="81"/>
  <c r="R147" i="81"/>
  <c r="S147" i="81"/>
  <c r="S150" i="81"/>
  <c r="R150" i="81"/>
  <c r="R151" i="81"/>
  <c r="T151" i="81" s="1"/>
  <c r="U151" i="81" s="1"/>
  <c r="S151" i="81"/>
  <c r="Q155" i="81"/>
  <c r="S108" i="81" l="1"/>
  <c r="R108" i="81"/>
  <c r="T108" i="81" s="1"/>
  <c r="U108" i="81" s="1"/>
  <c r="S104" i="81"/>
  <c r="R104" i="81"/>
  <c r="T104" i="81" s="1"/>
  <c r="U104" i="81" s="1"/>
  <c r="S133" i="81"/>
  <c r="R133" i="81"/>
  <c r="T133" i="81" s="1"/>
  <c r="U133" i="81" s="1"/>
  <c r="S105" i="81"/>
  <c r="R105" i="81"/>
  <c r="S109" i="81"/>
  <c r="R109" i="81"/>
  <c r="T109" i="81" s="1"/>
  <c r="U109" i="81" s="1"/>
  <c r="S115" i="81"/>
  <c r="R115" i="81"/>
  <c r="R107" i="81"/>
  <c r="S107" i="81"/>
  <c r="F177" i="81"/>
  <c r="D177" i="81" s="1"/>
  <c r="D178" i="81" s="1"/>
  <c r="Q134" i="81"/>
  <c r="R122" i="81"/>
  <c r="S122" i="81"/>
  <c r="R145" i="81"/>
  <c r="T145" i="81" s="1"/>
  <c r="U145" i="81" s="1"/>
  <c r="S145" i="81"/>
  <c r="S141" i="81"/>
  <c r="R141" i="81"/>
  <c r="T141" i="81" s="1"/>
  <c r="U141" i="81"/>
  <c r="S121" i="81"/>
  <c r="R121" i="81"/>
  <c r="R156" i="81"/>
  <c r="S156" i="81"/>
  <c r="R125" i="81"/>
  <c r="T125" i="81" s="1"/>
  <c r="U125" i="81" s="1"/>
  <c r="S125" i="81"/>
  <c r="T150" i="81"/>
  <c r="U150" i="81" s="1"/>
  <c r="T123" i="81"/>
  <c r="U123" i="81" s="1"/>
  <c r="U111" i="81"/>
  <c r="S111" i="81"/>
  <c r="R111" i="81"/>
  <c r="T111" i="81" s="1"/>
  <c r="T159" i="81"/>
  <c r="U159" i="81" s="1"/>
  <c r="S146" i="81"/>
  <c r="R146" i="81"/>
  <c r="T138" i="81"/>
  <c r="U138" i="81" s="1"/>
  <c r="S118" i="81"/>
  <c r="R118" i="81"/>
  <c r="R102" i="81"/>
  <c r="S102" i="81"/>
  <c r="R137" i="81"/>
  <c r="T137" i="81" s="1"/>
  <c r="U137" i="81" s="1"/>
  <c r="S137" i="81"/>
  <c r="R132" i="81"/>
  <c r="S132" i="81"/>
  <c r="S117" i="81"/>
  <c r="R117" i="81"/>
  <c r="S152" i="81"/>
  <c r="R152" i="81"/>
  <c r="R140" i="81"/>
  <c r="T140" i="81" s="1"/>
  <c r="U140" i="81" s="1"/>
  <c r="S140" i="81"/>
  <c r="T112" i="81"/>
  <c r="U112" i="81" s="1"/>
  <c r="R155" i="81"/>
  <c r="S155" i="81"/>
  <c r="T147" i="81"/>
  <c r="U147" i="81" s="1"/>
  <c r="R142" i="81"/>
  <c r="S142" i="81"/>
  <c r="R130" i="81"/>
  <c r="S130" i="81"/>
  <c r="R114" i="81"/>
  <c r="T114" i="81" s="1"/>
  <c r="U114" i="81" s="1"/>
  <c r="S114" i="81"/>
  <c r="S106" i="81"/>
  <c r="R106" i="81"/>
  <c r="T106" i="81" s="1"/>
  <c r="U106" i="81" s="1"/>
  <c r="R157" i="81"/>
  <c r="T157" i="81" s="1"/>
  <c r="U157" i="81" s="1"/>
  <c r="S157" i="81"/>
  <c r="S136" i="81"/>
  <c r="R136" i="81"/>
  <c r="T136" i="81" s="1"/>
  <c r="U136" i="81" s="1"/>
  <c r="T143" i="81"/>
  <c r="U143" i="81" s="1"/>
  <c r="S119" i="81"/>
  <c r="R119" i="81"/>
  <c r="T119" i="81" s="1"/>
  <c r="U119" i="81" s="1"/>
  <c r="U103" i="81"/>
  <c r="S103" i="81"/>
  <c r="R103" i="81"/>
  <c r="T103" i="81" s="1"/>
  <c r="S139" i="81"/>
  <c r="R139" i="81"/>
  <c r="S126" i="81"/>
  <c r="R126" i="81"/>
  <c r="T126" i="81" s="1"/>
  <c r="U126" i="81" s="1"/>
  <c r="R110" i="81"/>
  <c r="T110" i="81" s="1"/>
  <c r="U110" i="81" s="1"/>
  <c r="S110" i="81"/>
  <c r="S153" i="81"/>
  <c r="R153" i="81"/>
  <c r="T153" i="81" s="1"/>
  <c r="U153" i="81" s="1"/>
  <c r="T148" i="81"/>
  <c r="U148" i="81" s="1"/>
  <c r="S128" i="81"/>
  <c r="R128" i="81"/>
  <c r="T128" i="81" s="1"/>
  <c r="U128" i="81" s="1"/>
  <c r="T116" i="81"/>
  <c r="U116" i="81" s="1"/>
  <c r="S100" i="81"/>
  <c r="R100" i="81"/>
  <c r="T100" i="81" s="1"/>
  <c r="U100" i="81" s="1"/>
  <c r="T142" i="81" l="1"/>
  <c r="U142" i="81" s="1"/>
  <c r="T155" i="81"/>
  <c r="U155" i="81" s="1"/>
  <c r="T132" i="81"/>
  <c r="U132" i="81" s="1"/>
  <c r="T102" i="81"/>
  <c r="U102" i="81" s="1"/>
  <c r="T146" i="81"/>
  <c r="U146" i="81" s="1"/>
  <c r="T156" i="81"/>
  <c r="U156" i="81" s="1"/>
  <c r="T130" i="81"/>
  <c r="U130" i="81" s="1"/>
  <c r="T152" i="81"/>
  <c r="U152" i="81" s="1"/>
  <c r="T117" i="81"/>
  <c r="U117" i="81" s="1"/>
  <c r="T118" i="81"/>
  <c r="U118" i="81" s="1"/>
  <c r="T121" i="81"/>
  <c r="U121" i="81" s="1"/>
  <c r="T122" i="81"/>
  <c r="U122" i="81" s="1"/>
  <c r="T107" i="81"/>
  <c r="U107" i="81" s="1"/>
  <c r="T139" i="81"/>
  <c r="U139" i="81" s="1"/>
  <c r="S134" i="81"/>
  <c r="R134" i="81"/>
  <c r="T134" i="81" s="1"/>
  <c r="U134" i="81" s="1"/>
  <c r="T115" i="81"/>
  <c r="U115" i="81" s="1"/>
  <c r="T105" i="81"/>
  <c r="U105" i="81" s="1"/>
</calcChain>
</file>

<file path=xl/comments1.xml><?xml version="1.0" encoding="utf-8"?>
<comments xmlns="http://schemas.openxmlformats.org/spreadsheetml/2006/main">
  <authors>
    <author>user</author>
  </authors>
  <commentList>
    <comment ref="O26" authorId="0" shapeId="0">
      <text>
        <r>
          <rPr>
            <b/>
            <sz val="9"/>
            <color indexed="81"/>
            <rFont val="돋움"/>
            <family val="3"/>
            <charset val="129"/>
          </rPr>
          <t>귀속</t>
        </r>
        <r>
          <rPr>
            <b/>
            <sz val="9"/>
            <color indexed="81"/>
            <rFont val="Tahoma"/>
            <family val="2"/>
          </rPr>
          <t xml:space="preserve"> 1</t>
        </r>
        <r>
          <rPr>
            <b/>
            <sz val="9"/>
            <color indexed="81"/>
            <rFont val="돋움"/>
            <family val="3"/>
            <charset val="129"/>
          </rPr>
          <t>월</t>
        </r>
        <r>
          <rPr>
            <b/>
            <sz val="9"/>
            <color indexed="81"/>
            <rFont val="Tahoma"/>
            <family val="2"/>
          </rPr>
          <t xml:space="preserve"> 1/16 </t>
        </r>
        <r>
          <rPr>
            <b/>
            <sz val="9"/>
            <color indexed="81"/>
            <rFont val="돋움"/>
            <family val="3"/>
            <charset val="129"/>
          </rPr>
          <t>이후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식대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발생분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포함</t>
        </r>
      </text>
    </comment>
  </commentList>
</comments>
</file>

<file path=xl/sharedStrings.xml><?xml version="1.0" encoding="utf-8"?>
<sst xmlns="http://schemas.openxmlformats.org/spreadsheetml/2006/main" count="65" uniqueCount="49">
  <si>
    <t>급                여</t>
    <phoneticPr fontId="4" type="noConversion"/>
  </si>
  <si>
    <t>세   액    및    공   제</t>
    <phoneticPr fontId="4" type="noConversion"/>
  </si>
  <si>
    <t>기  본  급</t>
    <phoneticPr fontId="4" type="noConversion"/>
  </si>
  <si>
    <t>국  민  연  금</t>
    <phoneticPr fontId="4" type="noConversion"/>
  </si>
  <si>
    <t>건  강  보  험</t>
    <phoneticPr fontId="4" type="noConversion"/>
  </si>
  <si>
    <t xml:space="preserve">장 기 요 양 보 험 </t>
    <phoneticPr fontId="2" type="noConversion"/>
  </si>
  <si>
    <t>고용보험</t>
    <phoneticPr fontId="2" type="noConversion"/>
  </si>
  <si>
    <t>공  제  총  액</t>
    <phoneticPr fontId="4" type="noConversion"/>
  </si>
  <si>
    <t>급  여  총  액</t>
    <phoneticPr fontId="4" type="noConversion"/>
  </si>
  <si>
    <t>실  수  령  액</t>
    <phoneticPr fontId="4" type="noConversion"/>
  </si>
  <si>
    <t>근로소득세 (3%)</t>
    <phoneticPr fontId="4" type="noConversion"/>
  </si>
  <si>
    <t>지방소득세 (0.3%)</t>
    <phoneticPr fontId="4" type="noConversion"/>
  </si>
  <si>
    <t>급여명세서</t>
    <phoneticPr fontId="2" type="noConversion"/>
  </si>
  <si>
    <r>
      <rPr>
        <u/>
        <sz val="11"/>
        <rFont val="맑은 고딕"/>
        <family val="3"/>
        <charset val="129"/>
        <scheme val="minor"/>
      </rPr>
      <t>김민지</t>
    </r>
    <r>
      <rPr>
        <sz val="11"/>
        <rFont val="맑은 고딕"/>
        <family val="3"/>
        <charset val="129"/>
        <scheme val="minor"/>
      </rPr>
      <t xml:space="preserve"> 님</t>
    </r>
    <phoneticPr fontId="2" type="noConversion"/>
  </si>
  <si>
    <t>2026년 2월 청구내역서</t>
    <phoneticPr fontId="11" type="noConversion"/>
  </si>
  <si>
    <t>사업장:어브코스</t>
    <phoneticPr fontId="11" type="noConversion"/>
  </si>
  <si>
    <t>순번</t>
    <phoneticPr fontId="11" type="noConversion"/>
  </si>
  <si>
    <t>성명</t>
    <phoneticPr fontId="11" type="noConversion"/>
  </si>
  <si>
    <t>시급</t>
    <phoneticPr fontId="11" type="noConversion"/>
  </si>
  <si>
    <t>기본급</t>
    <phoneticPr fontId="4" type="noConversion"/>
  </si>
  <si>
    <t>연장</t>
    <phoneticPr fontId="11" type="noConversion"/>
  </si>
  <si>
    <t>주특</t>
    <phoneticPr fontId="11" type="noConversion"/>
  </si>
  <si>
    <t>특잔수당</t>
    <phoneticPr fontId="4" type="noConversion"/>
  </si>
  <si>
    <t>심야</t>
    <phoneticPr fontId="4" type="noConversion"/>
  </si>
  <si>
    <t>간식대</t>
    <phoneticPr fontId="2" type="noConversion"/>
  </si>
  <si>
    <t>상여금</t>
    <phoneticPr fontId="2" type="noConversion"/>
  </si>
  <si>
    <t>직접비
소계</t>
    <phoneticPr fontId="11" type="noConversion"/>
  </si>
  <si>
    <t>일반관리비</t>
    <phoneticPr fontId="2" type="noConversion"/>
  </si>
  <si>
    <t>기업이윤</t>
    <phoneticPr fontId="2" type="noConversion"/>
  </si>
  <si>
    <t>간접비
소계</t>
    <phoneticPr fontId="11" type="noConversion"/>
  </si>
  <si>
    <t>총액</t>
    <phoneticPr fontId="11" type="noConversion"/>
  </si>
  <si>
    <t>시간</t>
    <phoneticPr fontId="11" type="noConversion"/>
  </si>
  <si>
    <t>금액</t>
    <phoneticPr fontId="11" type="noConversion"/>
  </si>
  <si>
    <t>공급가액</t>
    <phoneticPr fontId="4" type="noConversion"/>
  </si>
  <si>
    <t>부가세</t>
    <phoneticPr fontId="4" type="noConversion"/>
  </si>
  <si>
    <t>청구총액</t>
    <phoneticPr fontId="4" type="noConversion"/>
  </si>
  <si>
    <t>주특</t>
    <phoneticPr fontId="4" type="noConversion"/>
  </si>
  <si>
    <t>연장</t>
    <phoneticPr fontId="2" type="noConversion"/>
  </si>
  <si>
    <t>심야수당</t>
    <phoneticPr fontId="2" type="noConversion"/>
  </si>
  <si>
    <t>경조사비</t>
    <phoneticPr fontId="2" type="noConversion"/>
  </si>
  <si>
    <t>특잔</t>
    <phoneticPr fontId="4" type="noConversion"/>
  </si>
  <si>
    <t>값가져오기</t>
    <phoneticPr fontId="2" type="noConversion"/>
  </si>
  <si>
    <t>공란처리</t>
    <phoneticPr fontId="2" type="noConversion"/>
  </si>
  <si>
    <t>급여총액*0.03</t>
    <phoneticPr fontId="2" type="noConversion"/>
  </si>
  <si>
    <t>근로소득세10/1</t>
    <phoneticPr fontId="2" type="noConversion"/>
  </si>
  <si>
    <t>근로소득세+지방소득세</t>
    <phoneticPr fontId="2" type="noConversion"/>
  </si>
  <si>
    <t xml:space="preserve"> sum(기본급~경조사비)</t>
    <phoneticPr fontId="2" type="noConversion"/>
  </si>
  <si>
    <t>급여총액-공제총액</t>
    <phoneticPr fontId="2" type="noConversion"/>
  </si>
  <si>
    <t>한달동안 고생 많으셨습니다.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</si>
</sst>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2" formatCode="_-&quot;₩&quot;* #,##0_-;\-&quot;₩&quot;* #,##0_-;_-&quot;₩&quot;* &quot;-&quot;_-;_-@_-"/>
    <numFmt numFmtId="41" formatCode="_-* #,##0_-;\-* #,##0_-;_-* &quot;-&quot;_-;_-@_-"/>
    <numFmt numFmtId="176" formatCode="#,##0.0_ "/>
    <numFmt numFmtId="177" formatCode="#,##0_ "/>
    <numFmt numFmtId="178" formatCode="_-* #,##0.0_-;\-* #,##0.0_-;_-* &quot;-&quot;?_-;_-@_-"/>
    <numFmt numFmtId="179" formatCode="_-* #,##0.0_-;\-* #,##0.0_-;_-* &quot;-&quot;_-;_-@_-"/>
    <numFmt numFmtId="180" formatCode="_-* #,##0_-;\-* #,##0_-;_-* &quot;-&quot;?_-;_-@_-"/>
  </numFmts>
  <fonts count="36">
    <font>
      <sz val="11"/>
      <color theme="1"/>
      <name val="맑은 고딕"/>
      <family val="2"/>
      <charset val="129"/>
      <scheme val="minor"/>
    </font>
    <font>
      <b/>
      <u/>
      <sz val="17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sz val="8"/>
      <name val="굴림체"/>
      <family val="3"/>
      <charset val="129"/>
    </font>
    <font>
      <b/>
      <sz val="1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1"/>
      <name val="돋움"/>
      <family val="3"/>
      <charset val="129"/>
    </font>
    <font>
      <sz val="12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theme="1"/>
      <name val="맑은 고딕"/>
      <family val="2"/>
      <charset val="129"/>
      <scheme val="minor"/>
    </font>
    <font>
      <u/>
      <sz val="1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ajor"/>
    </font>
    <font>
      <b/>
      <sz val="18"/>
      <color theme="1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ajor"/>
    </font>
    <font>
      <sz val="9"/>
      <color indexed="8"/>
      <name val="맑은 고딕"/>
      <family val="3"/>
      <charset val="129"/>
    </font>
    <font>
      <b/>
      <sz val="11"/>
      <color theme="1"/>
      <name val="맑은 고딕"/>
      <family val="3"/>
      <charset val="129"/>
      <scheme val="major"/>
    </font>
    <font>
      <sz val="9"/>
      <color theme="1"/>
      <name val="맑은 고딕"/>
      <family val="3"/>
      <charset val="129"/>
      <scheme val="major"/>
    </font>
    <font>
      <sz val="11"/>
      <color rgb="FFFF0000"/>
      <name val="맑은 고딕"/>
      <family val="3"/>
      <charset val="129"/>
      <scheme val="major"/>
    </font>
    <font>
      <sz val="11"/>
      <name val="맑은 고딕"/>
      <family val="3"/>
      <charset val="129"/>
      <scheme val="major"/>
    </font>
    <font>
      <sz val="10"/>
      <name val="맑은 고딕"/>
      <family val="3"/>
      <charset val="129"/>
      <scheme val="major"/>
    </font>
    <font>
      <sz val="11"/>
      <name val="굴림체"/>
      <family val="3"/>
      <charset val="129"/>
    </font>
    <font>
      <b/>
      <sz val="9"/>
      <name val="맑은 고딕"/>
      <family val="3"/>
      <charset val="129"/>
      <scheme val="major"/>
    </font>
    <font>
      <b/>
      <sz val="10"/>
      <name val="맑은 고딕"/>
      <family val="3"/>
      <charset val="129"/>
      <scheme val="major"/>
    </font>
    <font>
      <sz val="9"/>
      <name val="맑은 고딕"/>
      <family val="3"/>
      <charset val="129"/>
      <scheme val="major"/>
    </font>
    <font>
      <sz val="10"/>
      <name val="돋움체"/>
      <family val="3"/>
      <charset val="129"/>
    </font>
    <font>
      <b/>
      <sz val="9"/>
      <color theme="1"/>
      <name val="맑은 고딕"/>
      <family val="3"/>
      <charset val="129"/>
      <scheme val="major"/>
    </font>
    <font>
      <b/>
      <sz val="11"/>
      <name val="맑은 고딕"/>
      <family val="3"/>
      <charset val="129"/>
      <scheme val="major"/>
    </font>
    <font>
      <sz val="8"/>
      <color theme="0"/>
      <name val="맑은 고딕"/>
      <family val="3"/>
      <charset val="129"/>
      <scheme val="major"/>
    </font>
    <font>
      <sz val="8"/>
      <name val="맑은 고딕"/>
      <family val="3"/>
      <charset val="129"/>
      <scheme val="major"/>
    </font>
    <font>
      <sz val="9"/>
      <color theme="0"/>
      <name val="맑은 고딕"/>
      <family val="3"/>
      <charset val="129"/>
      <scheme val="major"/>
    </font>
    <font>
      <sz val="11"/>
      <color theme="0"/>
      <name val="맑은 고딕"/>
      <family val="3"/>
      <charset val="129"/>
      <scheme val="major"/>
    </font>
    <font>
      <b/>
      <sz val="9"/>
      <color indexed="81"/>
      <name val="돋움"/>
      <family val="3"/>
      <charset val="129"/>
    </font>
    <font>
      <b/>
      <sz val="9"/>
      <color indexed="81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00"/>
        <bgColor indexed="64"/>
      </patternFill>
    </fill>
  </fills>
  <borders count="3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8">
    <xf numFmtId="0" fontId="0" fillId="0" borderId="0">
      <alignment vertical="center"/>
    </xf>
    <xf numFmtId="0" fontId="6" fillId="0" borderId="0">
      <alignment vertical="center"/>
    </xf>
    <xf numFmtId="0" fontId="9" fillId="0" borderId="0"/>
    <xf numFmtId="41" fontId="12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</cellStyleXfs>
  <cellXfs count="143">
    <xf numFmtId="0" fontId="0" fillId="0" borderId="0" xfId="0">
      <alignment vertical="center"/>
    </xf>
    <xf numFmtId="0" fontId="3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horizontal="right" vertical="center"/>
    </xf>
    <xf numFmtId="0" fontId="3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center" vertical="center"/>
    </xf>
    <xf numFmtId="41" fontId="3" fillId="2" borderId="0" xfId="3" applyFont="1" applyFill="1" applyBorder="1" applyAlignment="1">
      <alignment vertical="center"/>
    </xf>
    <xf numFmtId="177" fontId="3" fillId="2" borderId="6" xfId="0" applyNumberFormat="1" applyFont="1" applyFill="1" applyBorder="1" applyAlignment="1">
      <alignment horizontal="center" vertical="center"/>
    </xf>
    <xf numFmtId="177" fontId="3" fillId="0" borderId="7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7" fontId="3" fillId="0" borderId="7" xfId="0" applyNumberFormat="1" applyFont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177" fontId="3" fillId="3" borderId="14" xfId="0" applyNumberFormat="1" applyFont="1" applyFill="1" applyBorder="1" applyAlignment="1">
      <alignment horizontal="center" vertical="center"/>
    </xf>
    <xf numFmtId="177" fontId="3" fillId="2" borderId="6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vertical="center"/>
    </xf>
    <xf numFmtId="0" fontId="3" fillId="2" borderId="5" xfId="0" applyFont="1" applyFill="1" applyBorder="1" applyAlignment="1">
      <alignment horizontal="center" vertical="distributed"/>
    </xf>
    <xf numFmtId="0" fontId="3" fillId="2" borderId="10" xfId="0" applyFont="1" applyFill="1" applyBorder="1" applyAlignment="1">
      <alignment horizontal="center" vertical="distributed"/>
    </xf>
    <xf numFmtId="0" fontId="3" fillId="3" borderId="12" xfId="0" applyFont="1" applyFill="1" applyBorder="1" applyAlignment="1">
      <alignment horizontal="center" vertical="distributed"/>
    </xf>
    <xf numFmtId="0" fontId="3" fillId="0" borderId="6" xfId="0" applyFont="1" applyFill="1" applyBorder="1" applyAlignment="1">
      <alignment horizontal="center" vertical="distributed"/>
    </xf>
    <xf numFmtId="0" fontId="3" fillId="2" borderId="6" xfId="0" applyFont="1" applyFill="1" applyBorder="1" applyAlignment="1">
      <alignment horizontal="center" vertical="distributed"/>
    </xf>
    <xf numFmtId="0" fontId="3" fillId="2" borderId="8" xfId="0" applyFont="1" applyFill="1" applyBorder="1" applyAlignment="1">
      <alignment horizontal="center" vertical="distributed"/>
    </xf>
    <xf numFmtId="0" fontId="3" fillId="3" borderId="13" xfId="0" applyFont="1" applyFill="1" applyBorder="1" applyAlignment="1">
      <alignment horizontal="center" vertical="distributed"/>
    </xf>
    <xf numFmtId="177" fontId="3" fillId="0" borderId="7" xfId="0" applyNumberFormat="1" applyFont="1" applyFill="1" applyBorder="1" applyAlignment="1">
      <alignment vertical="center"/>
    </xf>
    <xf numFmtId="0" fontId="14" fillId="0" borderId="0" xfId="4" applyFont="1">
      <alignment vertical="center"/>
    </xf>
    <xf numFmtId="0" fontId="14" fillId="0" borderId="0" xfId="4" applyFont="1" applyAlignment="1">
      <alignment horizontal="center" vertical="center"/>
    </xf>
    <xf numFmtId="0" fontId="14" fillId="5" borderId="6" xfId="4" applyFont="1" applyFill="1" applyBorder="1" applyAlignment="1">
      <alignment horizontal="center" vertical="center"/>
    </xf>
    <xf numFmtId="41" fontId="19" fillId="5" borderId="6" xfId="5" applyFont="1" applyFill="1" applyBorder="1" applyAlignment="1">
      <alignment horizontal="center" vertical="center"/>
    </xf>
    <xf numFmtId="0" fontId="21" fillId="0" borderId="0" xfId="4" applyFont="1" applyAlignment="1">
      <alignment horizontal="center" vertical="center"/>
    </xf>
    <xf numFmtId="0" fontId="22" fillId="0" borderId="6" xfId="4" applyFont="1" applyBorder="1" applyAlignment="1">
      <alignment horizontal="center" vertical="center"/>
    </xf>
    <xf numFmtId="41" fontId="24" fillId="0" borderId="6" xfId="6" applyFont="1" applyFill="1" applyBorder="1" applyAlignment="1">
      <alignment horizontal="center" vertical="center"/>
    </xf>
    <xf numFmtId="178" fontId="25" fillId="0" borderId="6" xfId="5" quotePrefix="1" applyNumberFormat="1" applyFont="1" applyFill="1" applyBorder="1" applyAlignment="1">
      <alignment horizontal="center" vertical="center"/>
    </xf>
    <xf numFmtId="41" fontId="26" fillId="0" borderId="6" xfId="5" applyFont="1" applyFill="1" applyBorder="1" applyAlignment="1">
      <alignment horizontal="center" vertical="center"/>
    </xf>
    <xf numFmtId="179" fontId="25" fillId="0" borderId="6" xfId="5" quotePrefix="1" applyNumberFormat="1" applyFont="1" applyFill="1" applyBorder="1" applyAlignment="1">
      <alignment horizontal="center" vertical="center"/>
    </xf>
    <xf numFmtId="179" fontId="25" fillId="2" borderId="6" xfId="5" quotePrefix="1" applyNumberFormat="1" applyFont="1" applyFill="1" applyBorder="1" applyAlignment="1">
      <alignment horizontal="center" vertical="center"/>
    </xf>
    <xf numFmtId="41" fontId="26" fillId="2" borderId="6" xfId="5" applyFont="1" applyFill="1" applyBorder="1" applyAlignment="1">
      <alignment horizontal="center" vertical="center"/>
    </xf>
    <xf numFmtId="41" fontId="26" fillId="2" borderId="11" xfId="3" applyFont="1" applyFill="1" applyBorder="1" applyAlignment="1">
      <alignment horizontal="center" vertical="center"/>
    </xf>
    <xf numFmtId="41" fontId="26" fillId="0" borderId="24" xfId="5" applyFont="1" applyFill="1" applyBorder="1" applyAlignment="1">
      <alignment horizontal="center" vertical="center"/>
    </xf>
    <xf numFmtId="3" fontId="26" fillId="2" borderId="6" xfId="5" applyNumberFormat="1" applyFont="1" applyFill="1" applyBorder="1" applyAlignment="1">
      <alignment horizontal="center" vertical="center"/>
    </xf>
    <xf numFmtId="3" fontId="26" fillId="2" borderId="11" xfId="5" applyNumberFormat="1" applyFont="1" applyFill="1" applyBorder="1" applyAlignment="1">
      <alignment horizontal="center" vertical="center"/>
    </xf>
    <xf numFmtId="3" fontId="26" fillId="2" borderId="24" xfId="5" applyNumberFormat="1" applyFont="1" applyFill="1" applyBorder="1" applyAlignment="1">
      <alignment horizontal="center" vertical="center"/>
    </xf>
    <xf numFmtId="3" fontId="25" fillId="2" borderId="24" xfId="5" applyNumberFormat="1" applyFont="1" applyFill="1" applyBorder="1" applyAlignment="1">
      <alignment horizontal="center" vertical="center"/>
    </xf>
    <xf numFmtId="0" fontId="21" fillId="2" borderId="0" xfId="4" applyFont="1" applyFill="1" applyAlignment="1">
      <alignment horizontal="center" vertical="center"/>
    </xf>
    <xf numFmtId="41" fontId="26" fillId="0" borderId="11" xfId="3" applyFont="1" applyFill="1" applyBorder="1" applyAlignment="1">
      <alignment horizontal="center" vertical="center"/>
    </xf>
    <xf numFmtId="0" fontId="22" fillId="3" borderId="6" xfId="4" applyFont="1" applyFill="1" applyBorder="1" applyAlignment="1">
      <alignment horizontal="center" vertical="center"/>
    </xf>
    <xf numFmtId="41" fontId="24" fillId="3" borderId="6" xfId="6" applyFont="1" applyFill="1" applyBorder="1" applyAlignment="1">
      <alignment horizontal="center" vertical="center"/>
    </xf>
    <xf numFmtId="178" fontId="25" fillId="3" borderId="6" xfId="5" quotePrefix="1" applyNumberFormat="1" applyFont="1" applyFill="1" applyBorder="1" applyAlignment="1">
      <alignment horizontal="center" vertical="center"/>
    </xf>
    <xf numFmtId="41" fontId="26" fillId="3" borderId="6" xfId="5" applyFont="1" applyFill="1" applyBorder="1" applyAlignment="1">
      <alignment horizontal="center" vertical="center"/>
    </xf>
    <xf numFmtId="179" fontId="25" fillId="3" borderId="6" xfId="5" quotePrefix="1" applyNumberFormat="1" applyFont="1" applyFill="1" applyBorder="1" applyAlignment="1">
      <alignment horizontal="center" vertical="center"/>
    </xf>
    <xf numFmtId="41" fontId="26" fillId="3" borderId="11" xfId="3" applyFont="1" applyFill="1" applyBorder="1" applyAlignment="1">
      <alignment horizontal="center" vertical="center"/>
    </xf>
    <xf numFmtId="41" fontId="26" fillId="3" borderId="24" xfId="5" applyFont="1" applyFill="1" applyBorder="1" applyAlignment="1">
      <alignment horizontal="center" vertical="center"/>
    </xf>
    <xf numFmtId="3" fontId="26" fillId="3" borderId="6" xfId="5" applyNumberFormat="1" applyFont="1" applyFill="1" applyBorder="1" applyAlignment="1">
      <alignment horizontal="center" vertical="center"/>
    </xf>
    <xf numFmtId="3" fontId="26" fillId="3" borderId="11" xfId="5" applyNumberFormat="1" applyFont="1" applyFill="1" applyBorder="1" applyAlignment="1">
      <alignment horizontal="center" vertical="center"/>
    </xf>
    <xf numFmtId="3" fontId="26" fillId="3" borderId="24" xfId="5" applyNumberFormat="1" applyFont="1" applyFill="1" applyBorder="1" applyAlignment="1">
      <alignment horizontal="center" vertical="center"/>
    </xf>
    <xf numFmtId="3" fontId="25" fillId="3" borderId="24" xfId="5" applyNumberFormat="1" applyFont="1" applyFill="1" applyBorder="1" applyAlignment="1">
      <alignment horizontal="center" vertical="center"/>
    </xf>
    <xf numFmtId="0" fontId="21" fillId="3" borderId="0" xfId="4" applyFont="1" applyFill="1" applyAlignment="1">
      <alignment horizontal="center" vertical="center"/>
    </xf>
    <xf numFmtId="0" fontId="22" fillId="0" borderId="6" xfId="4" applyFont="1" applyFill="1" applyBorder="1" applyAlignment="1">
      <alignment horizontal="center" vertical="center"/>
    </xf>
    <xf numFmtId="41" fontId="26" fillId="6" borderId="6" xfId="5" applyFont="1" applyFill="1" applyBorder="1" applyAlignment="1">
      <alignment horizontal="center" vertical="center"/>
    </xf>
    <xf numFmtId="3" fontId="26" fillId="0" borderId="6" xfId="5" applyNumberFormat="1" applyFont="1" applyFill="1" applyBorder="1" applyAlignment="1">
      <alignment horizontal="center" vertical="center"/>
    </xf>
    <xf numFmtId="3" fontId="26" fillId="0" borderId="11" xfId="5" applyNumberFormat="1" applyFont="1" applyFill="1" applyBorder="1" applyAlignment="1">
      <alignment horizontal="center" vertical="center"/>
    </xf>
    <xf numFmtId="3" fontId="26" fillId="0" borderId="24" xfId="5" applyNumberFormat="1" applyFont="1" applyFill="1" applyBorder="1" applyAlignment="1">
      <alignment horizontal="center" vertical="center"/>
    </xf>
    <xf numFmtId="3" fontId="25" fillId="0" borderId="24" xfId="5" applyNumberFormat="1" applyFont="1" applyFill="1" applyBorder="1" applyAlignment="1">
      <alignment horizontal="center" vertical="center"/>
    </xf>
    <xf numFmtId="0" fontId="21" fillId="0" borderId="0" xfId="4" applyFont="1" applyFill="1" applyAlignment="1">
      <alignment horizontal="center" vertical="center"/>
    </xf>
    <xf numFmtId="41" fontId="26" fillId="0" borderId="8" xfId="5" applyFont="1" applyFill="1" applyBorder="1" applyAlignment="1">
      <alignment horizontal="center" vertical="center"/>
    </xf>
    <xf numFmtId="0" fontId="22" fillId="0" borderId="6" xfId="4" applyFont="1" applyBorder="1" applyAlignment="1">
      <alignment horizontal="center" vertical="center" wrapText="1"/>
    </xf>
    <xf numFmtId="0" fontId="22" fillId="0" borderId="18" xfId="4" applyFont="1" applyBorder="1" applyAlignment="1">
      <alignment horizontal="center" vertical="center"/>
    </xf>
    <xf numFmtId="41" fontId="24" fillId="0" borderId="18" xfId="6" applyFont="1" applyFill="1" applyBorder="1" applyAlignment="1">
      <alignment horizontal="center" vertical="center"/>
    </xf>
    <xf numFmtId="178" fontId="25" fillId="0" borderId="18" xfId="5" quotePrefix="1" applyNumberFormat="1" applyFont="1" applyFill="1" applyBorder="1" applyAlignment="1">
      <alignment horizontal="center" vertical="center"/>
    </xf>
    <xf numFmtId="41" fontId="26" fillId="0" borderId="18" xfId="5" applyFont="1" applyFill="1" applyBorder="1" applyAlignment="1">
      <alignment horizontal="center" vertical="center"/>
    </xf>
    <xf numFmtId="179" fontId="25" fillId="0" borderId="18" xfId="5" quotePrefix="1" applyNumberFormat="1" applyFont="1" applyFill="1" applyBorder="1" applyAlignment="1">
      <alignment horizontal="center" vertical="center"/>
    </xf>
    <xf numFmtId="41" fontId="26" fillId="0" borderId="25" xfId="5" applyFont="1" applyFill="1" applyBorder="1" applyAlignment="1">
      <alignment horizontal="center" vertical="center"/>
    </xf>
    <xf numFmtId="41" fontId="26" fillId="0" borderId="26" xfId="5" applyFont="1" applyFill="1" applyBorder="1" applyAlignment="1">
      <alignment horizontal="center" vertical="center"/>
    </xf>
    <xf numFmtId="3" fontId="26" fillId="0" borderId="18" xfId="5" applyNumberFormat="1" applyFont="1" applyFill="1" applyBorder="1" applyAlignment="1">
      <alignment horizontal="center" vertical="center"/>
    </xf>
    <xf numFmtId="3" fontId="26" fillId="0" borderId="26" xfId="5" applyNumberFormat="1" applyFont="1" applyFill="1" applyBorder="1" applyAlignment="1">
      <alignment horizontal="center" vertical="center"/>
    </xf>
    <xf numFmtId="0" fontId="18" fillId="0" borderId="0" xfId="4" applyFont="1" applyAlignment="1">
      <alignment horizontal="center" vertical="center"/>
    </xf>
    <xf numFmtId="180" fontId="28" fillId="5" borderId="28" xfId="7" applyNumberFormat="1" applyFont="1" applyFill="1" applyBorder="1" applyAlignment="1">
      <alignment horizontal="center" vertical="center"/>
    </xf>
    <xf numFmtId="180" fontId="28" fillId="5" borderId="29" xfId="7" applyNumberFormat="1" applyFont="1" applyFill="1" applyBorder="1" applyAlignment="1">
      <alignment horizontal="center" vertical="center"/>
    </xf>
    <xf numFmtId="180" fontId="28" fillId="5" borderId="30" xfId="7" applyNumberFormat="1" applyFont="1" applyFill="1" applyBorder="1" applyAlignment="1">
      <alignment horizontal="center" vertical="center"/>
    </xf>
    <xf numFmtId="0" fontId="29" fillId="0" borderId="0" xfId="4" applyFont="1" applyAlignment="1">
      <alignment horizontal="center" vertical="center"/>
    </xf>
    <xf numFmtId="178" fontId="24" fillId="0" borderId="0" xfId="7" applyNumberFormat="1" applyFont="1" applyFill="1" applyBorder="1" applyAlignment="1">
      <alignment horizontal="center" vertical="center"/>
    </xf>
    <xf numFmtId="178" fontId="28" fillId="0" borderId="0" xfId="7" applyNumberFormat="1" applyFont="1" applyFill="1" applyBorder="1" applyAlignment="1">
      <alignment horizontal="center" vertical="center"/>
    </xf>
    <xf numFmtId="0" fontId="22" fillId="0" borderId="0" xfId="4" applyFont="1" applyAlignment="1">
      <alignment horizontal="center" vertical="center"/>
    </xf>
    <xf numFmtId="41" fontId="30" fillId="0" borderId="0" xfId="5" applyFont="1" applyFill="1" applyBorder="1" applyAlignment="1">
      <alignment horizontal="center" vertical="center"/>
    </xf>
    <xf numFmtId="179" fontId="30" fillId="0" borderId="0" xfId="5" applyNumberFormat="1" applyFont="1" applyFill="1" applyAlignment="1">
      <alignment horizontal="center" vertical="center"/>
    </xf>
    <xf numFmtId="179" fontId="31" fillId="0" borderId="0" xfId="5" applyNumberFormat="1" applyFont="1" applyFill="1" applyAlignment="1">
      <alignment horizontal="center" vertical="center"/>
    </xf>
    <xf numFmtId="180" fontId="24" fillId="0" borderId="0" xfId="7" applyNumberFormat="1" applyFont="1" applyFill="1" applyBorder="1" applyAlignment="1">
      <alignment horizontal="center" vertical="center"/>
    </xf>
    <xf numFmtId="3" fontId="21" fillId="0" borderId="0" xfId="4" applyNumberFormat="1" applyFont="1" applyAlignment="1">
      <alignment horizontal="center" vertical="center"/>
    </xf>
    <xf numFmtId="3" fontId="14" fillId="5" borderId="21" xfId="5" applyNumberFormat="1" applyFont="1" applyFill="1" applyBorder="1" applyAlignment="1">
      <alignment horizontal="center" vertical="center"/>
    </xf>
    <xf numFmtId="3" fontId="18" fillId="7" borderId="31" xfId="5" applyNumberFormat="1" applyFont="1" applyFill="1" applyBorder="1" applyAlignment="1">
      <alignment horizontal="center" vertical="center"/>
    </xf>
    <xf numFmtId="0" fontId="30" fillId="0" borderId="0" xfId="4" applyFont="1" applyAlignment="1">
      <alignment horizontal="center" vertical="center"/>
    </xf>
    <xf numFmtId="41" fontId="30" fillId="0" borderId="0" xfId="5" applyFont="1" applyAlignment="1">
      <alignment horizontal="center" vertical="center"/>
    </xf>
    <xf numFmtId="41" fontId="30" fillId="0" borderId="0" xfId="5" applyFont="1" applyAlignment="1">
      <alignment vertical="center"/>
    </xf>
    <xf numFmtId="41" fontId="31" fillId="0" borderId="0" xfId="5" applyFont="1" applyAlignment="1">
      <alignment horizontal="center" vertical="center"/>
    </xf>
    <xf numFmtId="3" fontId="14" fillId="5" borderId="10" xfId="5" applyNumberFormat="1" applyFont="1" applyFill="1" applyBorder="1" applyAlignment="1">
      <alignment horizontal="center" vertical="center"/>
    </xf>
    <xf numFmtId="3" fontId="18" fillId="0" borderId="9" xfId="5" applyNumberFormat="1" applyFont="1" applyBorder="1" applyAlignment="1">
      <alignment horizontal="center" vertical="center"/>
    </xf>
    <xf numFmtId="41" fontId="32" fillId="0" borderId="0" xfId="5" applyFont="1" applyFill="1" applyBorder="1" applyAlignment="1">
      <alignment horizontal="center" vertical="center"/>
    </xf>
    <xf numFmtId="0" fontId="33" fillId="0" borderId="0" xfId="4" applyFont="1" applyAlignment="1">
      <alignment horizontal="center" vertical="center"/>
    </xf>
    <xf numFmtId="41" fontId="32" fillId="0" borderId="0" xfId="5" applyFont="1" applyAlignment="1">
      <alignment horizontal="center" vertical="center"/>
    </xf>
    <xf numFmtId="41" fontId="32" fillId="0" borderId="0" xfId="4" applyNumberFormat="1" applyFont="1" applyAlignment="1">
      <alignment horizontal="center" vertical="center"/>
    </xf>
    <xf numFmtId="3" fontId="14" fillId="5" borderId="32" xfId="5" applyNumberFormat="1" applyFont="1" applyFill="1" applyBorder="1" applyAlignment="1">
      <alignment horizontal="center" vertical="center"/>
    </xf>
    <xf numFmtId="3" fontId="18" fillId="0" borderId="33" xfId="5" applyNumberFormat="1" applyFont="1" applyBorder="1" applyAlignment="1">
      <alignment horizontal="center" vertical="center"/>
    </xf>
    <xf numFmtId="3" fontId="32" fillId="0" borderId="0" xfId="5" applyNumberFormat="1" applyFont="1" applyAlignment="1">
      <alignment horizontal="center" vertical="center"/>
    </xf>
    <xf numFmtId="3" fontId="26" fillId="0" borderId="0" xfId="5" applyNumberFormat="1" applyFont="1" applyAlignment="1">
      <alignment horizontal="center" vertical="center"/>
    </xf>
    <xf numFmtId="3" fontId="19" fillId="0" borderId="0" xfId="5" applyNumberFormat="1" applyFont="1" applyAlignment="1">
      <alignment horizontal="center" vertical="center"/>
    </xf>
    <xf numFmtId="41" fontId="26" fillId="0" borderId="0" xfId="5" applyFont="1" applyAlignment="1">
      <alignment horizontal="center" vertical="center"/>
    </xf>
    <xf numFmtId="41" fontId="19" fillId="0" borderId="0" xfId="5" applyFont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177" fontId="3" fillId="2" borderId="6" xfId="0" applyNumberFormat="1" applyFont="1" applyFill="1" applyBorder="1" applyAlignment="1">
      <alignment horizontal="center" vertical="center"/>
    </xf>
    <xf numFmtId="177" fontId="3" fillId="3" borderId="13" xfId="0" applyNumberFormat="1" applyFont="1" applyFill="1" applyBorder="1" applyAlignment="1">
      <alignment horizontal="center" vertical="center"/>
    </xf>
    <xf numFmtId="0" fontId="5" fillId="2" borderId="15" xfId="0" applyFont="1" applyFill="1" applyBorder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10" fillId="4" borderId="0" xfId="0" applyFont="1" applyFill="1" applyBorder="1" applyAlignment="1">
      <alignment horizontal="left" vertical="center"/>
    </xf>
    <xf numFmtId="3" fontId="14" fillId="5" borderId="18" xfId="5" applyNumberFormat="1" applyFont="1" applyFill="1" applyBorder="1" applyAlignment="1">
      <alignment horizontal="center" vertical="center"/>
    </xf>
    <xf numFmtId="3" fontId="14" fillId="5" borderId="22" xfId="5" applyNumberFormat="1" applyFont="1" applyFill="1" applyBorder="1" applyAlignment="1">
      <alignment horizontal="center" vertical="center"/>
    </xf>
    <xf numFmtId="3" fontId="14" fillId="5" borderId="19" xfId="5" applyNumberFormat="1" applyFont="1" applyFill="1" applyBorder="1" applyAlignment="1">
      <alignment horizontal="center" vertical="center" wrapText="1"/>
    </xf>
    <xf numFmtId="3" fontId="14" fillId="5" borderId="23" xfId="5" applyNumberFormat="1" applyFont="1" applyFill="1" applyBorder="1" applyAlignment="1">
      <alignment horizontal="center" vertical="center" wrapText="1"/>
    </xf>
    <xf numFmtId="3" fontId="14" fillId="5" borderId="20" xfId="5" applyNumberFormat="1" applyFont="1" applyFill="1" applyBorder="1" applyAlignment="1">
      <alignment horizontal="center" vertical="center" wrapText="1"/>
    </xf>
    <xf numFmtId="3" fontId="14" fillId="5" borderId="24" xfId="5" applyNumberFormat="1" applyFont="1" applyFill="1" applyBorder="1" applyAlignment="1">
      <alignment horizontal="center" vertical="center" wrapText="1"/>
    </xf>
    <xf numFmtId="42" fontId="18" fillId="5" borderId="21" xfId="5" applyNumberFormat="1" applyFont="1" applyFill="1" applyBorder="1" applyAlignment="1">
      <alignment horizontal="center" vertical="center"/>
    </xf>
    <xf numFmtId="42" fontId="18" fillId="5" borderId="10" xfId="5" applyNumberFormat="1" applyFont="1" applyFill="1" applyBorder="1" applyAlignment="1">
      <alignment horizontal="center" vertical="center"/>
    </xf>
    <xf numFmtId="0" fontId="18" fillId="5" borderId="16" xfId="4" applyFont="1" applyFill="1" applyBorder="1" applyAlignment="1">
      <alignment horizontal="center" vertical="center"/>
    </xf>
    <xf numFmtId="0" fontId="18" fillId="5" borderId="27" xfId="4" applyFont="1" applyFill="1" applyBorder="1" applyAlignment="1">
      <alignment horizontal="center" vertical="center"/>
    </xf>
    <xf numFmtId="0" fontId="14" fillId="5" borderId="6" xfId="4" applyFont="1" applyFill="1" applyBorder="1" applyAlignment="1">
      <alignment horizontal="center" vertical="center"/>
    </xf>
    <xf numFmtId="0" fontId="20" fillId="5" borderId="6" xfId="4" applyFont="1" applyFill="1" applyBorder="1" applyAlignment="1">
      <alignment horizontal="center" vertical="center"/>
    </xf>
    <xf numFmtId="0" fontId="14" fillId="5" borderId="18" xfId="4" applyFont="1" applyFill="1" applyBorder="1" applyAlignment="1">
      <alignment horizontal="center" vertical="center"/>
    </xf>
    <xf numFmtId="0" fontId="14" fillId="5" borderId="22" xfId="4" applyFont="1" applyFill="1" applyBorder="1" applyAlignment="1">
      <alignment horizontal="center" vertical="center"/>
    </xf>
    <xf numFmtId="0" fontId="14" fillId="5" borderId="19" xfId="4" applyFont="1" applyFill="1" applyBorder="1" applyAlignment="1">
      <alignment horizontal="center" vertical="center"/>
    </xf>
    <xf numFmtId="0" fontId="14" fillId="5" borderId="23" xfId="4" applyFont="1" applyFill="1" applyBorder="1" applyAlignment="1">
      <alignment horizontal="center" vertical="center"/>
    </xf>
    <xf numFmtId="41" fontId="14" fillId="5" borderId="20" xfId="5" applyFont="1" applyFill="1" applyBorder="1" applyAlignment="1">
      <alignment horizontal="center" vertical="center" wrapText="1"/>
    </xf>
    <xf numFmtId="41" fontId="14" fillId="5" borderId="24" xfId="5" applyFont="1" applyFill="1" applyBorder="1" applyAlignment="1">
      <alignment horizontal="center" vertical="center"/>
    </xf>
    <xf numFmtId="0" fontId="15" fillId="0" borderId="0" xfId="4" applyFont="1" applyAlignment="1">
      <alignment horizontal="center" vertical="center"/>
    </xf>
    <xf numFmtId="9" fontId="16" fillId="0" borderId="0" xfId="4" applyNumberFormat="1" applyFont="1" applyAlignment="1">
      <alignment horizontal="center" vertical="center"/>
    </xf>
    <xf numFmtId="9" fontId="16" fillId="0" borderId="17" xfId="4" applyNumberFormat="1" applyFont="1" applyBorder="1" applyAlignment="1">
      <alignment horizontal="center" vertical="center"/>
    </xf>
    <xf numFmtId="3" fontId="16" fillId="0" borderId="0" xfId="5" applyNumberFormat="1" applyFont="1" applyAlignment="1">
      <alignment horizontal="center" vertical="center"/>
    </xf>
    <xf numFmtId="3" fontId="16" fillId="0" borderId="1" xfId="5" applyNumberFormat="1" applyFont="1" applyBorder="1" applyAlignment="1">
      <alignment horizontal="center" vertical="center"/>
    </xf>
    <xf numFmtId="3" fontId="18" fillId="0" borderId="0" xfId="5" applyNumberFormat="1" applyFont="1" applyAlignment="1">
      <alignment horizontal="right"/>
    </xf>
    <xf numFmtId="3" fontId="18" fillId="0" borderId="1" xfId="5" applyNumberFormat="1" applyFont="1" applyBorder="1" applyAlignment="1">
      <alignment horizontal="right"/>
    </xf>
    <xf numFmtId="41" fontId="19" fillId="5" borderId="6" xfId="5" applyFont="1" applyFill="1" applyBorder="1" applyAlignment="1">
      <alignment horizontal="center" vertical="center"/>
    </xf>
  </cellXfs>
  <cellStyles count="8">
    <cellStyle name="쉼표 [0]" xfId="3" builtinId="6"/>
    <cellStyle name="쉼표 [0] 2" xfId="6"/>
    <cellStyle name="쉼표 [0] 2 2" xfId="7"/>
    <cellStyle name="쉼표 [0] 2 72" xfId="5"/>
    <cellStyle name="표준" xfId="0" builtinId="0"/>
    <cellStyle name="표준 2" xfId="4"/>
    <cellStyle name="표준 2 2 2" xfId="2"/>
    <cellStyle name="표준 4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&#54616;&#45208;&#44536;&#47353;/Desktop/&#49453;&#51452;&#50836;&#52397;&#51088;&#47308;/&#9733;2&#50900;%20&#50612;&#48652;&#53076;&#49828;%20&#52397;&#44396;&#49436;%2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(근태)"/>
      <sheetName val="C(청구내역서)"/>
    </sheetNames>
    <sheetDataSet>
      <sheetData sheetId="0">
        <row r="7">
          <cell r="B7" t="str">
            <v>이영숙A</v>
          </cell>
          <cell r="C7">
            <v>10320</v>
          </cell>
          <cell r="AL7">
            <v>190</v>
          </cell>
        </row>
        <row r="8">
          <cell r="AL8">
            <v>14</v>
          </cell>
        </row>
        <row r="9">
          <cell r="AL9">
            <v>24</v>
          </cell>
        </row>
        <row r="10">
          <cell r="AL10">
            <v>0</v>
          </cell>
        </row>
        <row r="11">
          <cell r="AL11">
            <v>0</v>
          </cell>
        </row>
        <row r="13">
          <cell r="B13" t="str">
            <v>신향화</v>
          </cell>
          <cell r="C13">
            <v>10320</v>
          </cell>
          <cell r="AL13">
            <v>190</v>
          </cell>
        </row>
        <row r="14">
          <cell r="AL14">
            <v>12</v>
          </cell>
        </row>
        <row r="15">
          <cell r="AL15">
            <v>32</v>
          </cell>
        </row>
        <row r="16">
          <cell r="AL16">
            <v>0</v>
          </cell>
        </row>
        <row r="17">
          <cell r="AL17">
            <v>0</v>
          </cell>
        </row>
        <row r="19">
          <cell r="B19" t="str">
            <v>강정희A</v>
          </cell>
          <cell r="C19">
            <v>10320</v>
          </cell>
          <cell r="AL19">
            <v>192</v>
          </cell>
        </row>
        <row r="20">
          <cell r="AL20">
            <v>14</v>
          </cell>
        </row>
        <row r="21">
          <cell r="AL21">
            <v>24</v>
          </cell>
        </row>
        <row r="22">
          <cell r="AL22">
            <v>0</v>
          </cell>
        </row>
        <row r="23">
          <cell r="AL23">
            <v>0</v>
          </cell>
        </row>
        <row r="25">
          <cell r="B25" t="str">
            <v>박미순</v>
          </cell>
          <cell r="C25">
            <v>10320</v>
          </cell>
          <cell r="AL25">
            <v>190</v>
          </cell>
        </row>
        <row r="26">
          <cell r="AL26">
            <v>10</v>
          </cell>
        </row>
        <row r="27">
          <cell r="AL27">
            <v>8</v>
          </cell>
        </row>
        <row r="28">
          <cell r="AL28">
            <v>0</v>
          </cell>
        </row>
        <row r="29">
          <cell r="AL29">
            <v>0</v>
          </cell>
        </row>
        <row r="31">
          <cell r="B31" t="str">
            <v>김향숙</v>
          </cell>
          <cell r="C31">
            <v>10320</v>
          </cell>
          <cell r="AL31">
            <v>190</v>
          </cell>
        </row>
        <row r="32">
          <cell r="AL32">
            <v>12</v>
          </cell>
        </row>
        <row r="33">
          <cell r="AL33">
            <v>32</v>
          </cell>
        </row>
        <row r="34">
          <cell r="AL34">
            <v>0</v>
          </cell>
        </row>
        <row r="35">
          <cell r="AL35">
            <v>0</v>
          </cell>
        </row>
        <row r="37">
          <cell r="B37" t="str">
            <v>이진희</v>
          </cell>
          <cell r="C37">
            <v>10320</v>
          </cell>
          <cell r="AL37">
            <v>176</v>
          </cell>
        </row>
        <row r="38">
          <cell r="AL38">
            <v>7.5</v>
          </cell>
        </row>
        <row r="39">
          <cell r="AL39">
            <v>24</v>
          </cell>
        </row>
        <row r="40">
          <cell r="AL40">
            <v>0</v>
          </cell>
        </row>
        <row r="41">
          <cell r="AL41">
            <v>0</v>
          </cell>
        </row>
        <row r="43">
          <cell r="B43" t="str">
            <v>류경화</v>
          </cell>
          <cell r="C43">
            <v>10320</v>
          </cell>
          <cell r="AL43">
            <v>192</v>
          </cell>
        </row>
        <row r="44">
          <cell r="AL44">
            <v>16</v>
          </cell>
        </row>
        <row r="45">
          <cell r="AL45">
            <v>32</v>
          </cell>
        </row>
        <row r="46">
          <cell r="AL46">
            <v>0</v>
          </cell>
        </row>
        <row r="47">
          <cell r="AL47">
            <v>0</v>
          </cell>
        </row>
        <row r="49">
          <cell r="B49" t="str">
            <v>임연숙</v>
          </cell>
          <cell r="C49">
            <v>10320</v>
          </cell>
          <cell r="AL49">
            <v>192</v>
          </cell>
        </row>
        <row r="50">
          <cell r="AL50">
            <v>16</v>
          </cell>
        </row>
        <row r="51">
          <cell r="AL51">
            <v>32</v>
          </cell>
        </row>
        <row r="52">
          <cell r="AL52">
            <v>0</v>
          </cell>
        </row>
        <row r="53">
          <cell r="AL53">
            <v>0</v>
          </cell>
        </row>
        <row r="55">
          <cell r="B55" t="str">
            <v>선두녀</v>
          </cell>
          <cell r="C55">
            <v>10320</v>
          </cell>
          <cell r="AL55">
            <v>190</v>
          </cell>
        </row>
        <row r="56">
          <cell r="AL56">
            <v>12</v>
          </cell>
        </row>
        <row r="57">
          <cell r="AL57">
            <v>24</v>
          </cell>
        </row>
        <row r="58">
          <cell r="AL58">
            <v>0</v>
          </cell>
        </row>
        <row r="59">
          <cell r="AL59">
            <v>0</v>
          </cell>
        </row>
        <row r="61">
          <cell r="B61" t="str">
            <v>이영수</v>
          </cell>
          <cell r="C61">
            <v>10320</v>
          </cell>
          <cell r="AL61">
            <v>190</v>
          </cell>
        </row>
        <row r="62">
          <cell r="AL62">
            <v>14</v>
          </cell>
        </row>
        <row r="63">
          <cell r="AL63">
            <v>24</v>
          </cell>
        </row>
        <row r="64">
          <cell r="AL64">
            <v>0</v>
          </cell>
        </row>
        <row r="65">
          <cell r="AL65">
            <v>0</v>
          </cell>
        </row>
        <row r="67">
          <cell r="B67" t="str">
            <v>이미영A</v>
          </cell>
          <cell r="C67">
            <v>10320</v>
          </cell>
          <cell r="AL67">
            <v>188</v>
          </cell>
        </row>
        <row r="68">
          <cell r="AL68">
            <v>10</v>
          </cell>
        </row>
        <row r="69">
          <cell r="AL69">
            <v>16</v>
          </cell>
        </row>
        <row r="70">
          <cell r="AL70">
            <v>0</v>
          </cell>
        </row>
        <row r="71">
          <cell r="AL71">
            <v>0</v>
          </cell>
        </row>
        <row r="73">
          <cell r="B73" t="str">
            <v>김연아
(찹밴티)</v>
          </cell>
          <cell r="C73">
            <v>10320</v>
          </cell>
          <cell r="AL73">
            <v>188</v>
          </cell>
        </row>
        <row r="74">
          <cell r="AL74">
            <v>8</v>
          </cell>
        </row>
        <row r="75">
          <cell r="AL75">
            <v>32</v>
          </cell>
        </row>
        <row r="76">
          <cell r="AL76">
            <v>0</v>
          </cell>
        </row>
        <row r="77">
          <cell r="AL77">
            <v>0</v>
          </cell>
        </row>
        <row r="79">
          <cell r="B79" t="str">
            <v>윤선희</v>
          </cell>
          <cell r="C79">
            <v>10320</v>
          </cell>
          <cell r="AL79">
            <v>190</v>
          </cell>
        </row>
        <row r="80">
          <cell r="AL80">
            <v>4</v>
          </cell>
        </row>
        <row r="81">
          <cell r="AL81">
            <v>0</v>
          </cell>
        </row>
        <row r="82">
          <cell r="AL82">
            <v>0</v>
          </cell>
        </row>
        <row r="83">
          <cell r="AL83">
            <v>0</v>
          </cell>
        </row>
        <row r="85">
          <cell r="B85" t="str">
            <v>또아</v>
          </cell>
          <cell r="C85">
            <v>10320</v>
          </cell>
          <cell r="AL85">
            <v>144</v>
          </cell>
        </row>
        <row r="86">
          <cell r="AL86">
            <v>10</v>
          </cell>
        </row>
        <row r="87">
          <cell r="AL87">
            <v>16</v>
          </cell>
        </row>
        <row r="88">
          <cell r="AL88">
            <v>0</v>
          </cell>
        </row>
        <row r="89">
          <cell r="AL89">
            <v>0</v>
          </cell>
        </row>
        <row r="91">
          <cell r="B91" t="str">
            <v>김봉화</v>
          </cell>
          <cell r="C91">
            <v>10320</v>
          </cell>
          <cell r="AL91">
            <v>192</v>
          </cell>
        </row>
        <row r="92">
          <cell r="AL92">
            <v>17</v>
          </cell>
        </row>
        <row r="93">
          <cell r="AL93">
            <v>32</v>
          </cell>
        </row>
        <row r="94">
          <cell r="AL94">
            <v>0</v>
          </cell>
        </row>
        <row r="95">
          <cell r="AL95">
            <v>0</v>
          </cell>
        </row>
        <row r="97">
          <cell r="B97" t="str">
            <v>이윤진</v>
          </cell>
          <cell r="C97">
            <v>10320</v>
          </cell>
          <cell r="AL97">
            <v>190</v>
          </cell>
        </row>
        <row r="98">
          <cell r="AL98">
            <v>12</v>
          </cell>
        </row>
        <row r="99">
          <cell r="AL99">
            <v>32</v>
          </cell>
        </row>
        <row r="100">
          <cell r="AL100">
            <v>0</v>
          </cell>
        </row>
        <row r="101">
          <cell r="AL101">
            <v>0</v>
          </cell>
        </row>
        <row r="103">
          <cell r="B103" t="str">
            <v>이윤영</v>
          </cell>
          <cell r="C103">
            <v>10320</v>
          </cell>
          <cell r="AL103">
            <v>192</v>
          </cell>
        </row>
        <row r="104">
          <cell r="AL104">
            <v>16</v>
          </cell>
        </row>
        <row r="105">
          <cell r="AL105">
            <v>32</v>
          </cell>
        </row>
        <row r="106">
          <cell r="AL106">
            <v>0</v>
          </cell>
        </row>
        <row r="107">
          <cell r="AL107">
            <v>0</v>
          </cell>
        </row>
        <row r="109">
          <cell r="B109" t="str">
            <v>김성실</v>
          </cell>
          <cell r="C109">
            <v>10320</v>
          </cell>
          <cell r="AL109">
            <v>174</v>
          </cell>
        </row>
        <row r="110">
          <cell r="AL110">
            <v>12</v>
          </cell>
        </row>
        <row r="111">
          <cell r="AL111">
            <v>24</v>
          </cell>
        </row>
        <row r="112">
          <cell r="AL112">
            <v>0</v>
          </cell>
        </row>
        <row r="113">
          <cell r="AL113">
            <v>0</v>
          </cell>
        </row>
        <row r="115">
          <cell r="B115" t="str">
            <v>박승미</v>
          </cell>
          <cell r="C115">
            <v>10320</v>
          </cell>
          <cell r="AL115">
            <v>192</v>
          </cell>
        </row>
        <row r="116">
          <cell r="AL116">
            <v>16</v>
          </cell>
        </row>
        <row r="117">
          <cell r="AL117">
            <v>24</v>
          </cell>
        </row>
        <row r="118">
          <cell r="AL118">
            <v>0</v>
          </cell>
        </row>
        <row r="119">
          <cell r="AL119">
            <v>0</v>
          </cell>
        </row>
        <row r="121">
          <cell r="B121" t="str">
            <v>김수희</v>
          </cell>
          <cell r="C121">
            <v>10320</v>
          </cell>
          <cell r="AL121">
            <v>158</v>
          </cell>
        </row>
        <row r="122">
          <cell r="AL122">
            <v>0</v>
          </cell>
        </row>
        <row r="123">
          <cell r="AL123">
            <v>24</v>
          </cell>
        </row>
        <row r="124">
          <cell r="AL124">
            <v>51</v>
          </cell>
        </row>
        <row r="125">
          <cell r="AL125">
            <v>0</v>
          </cell>
        </row>
        <row r="127">
          <cell r="B127" t="str">
            <v>설홍매</v>
          </cell>
          <cell r="C127">
            <v>10320</v>
          </cell>
          <cell r="AL127">
            <v>190</v>
          </cell>
        </row>
        <row r="128">
          <cell r="AL128">
            <v>12</v>
          </cell>
        </row>
        <row r="129">
          <cell r="AL129">
            <v>32</v>
          </cell>
        </row>
        <row r="130">
          <cell r="AL130">
            <v>0</v>
          </cell>
        </row>
        <row r="131">
          <cell r="AL131">
            <v>0</v>
          </cell>
        </row>
        <row r="133">
          <cell r="B133" t="str">
            <v>김구연</v>
          </cell>
          <cell r="C133">
            <v>10320</v>
          </cell>
          <cell r="AL133">
            <v>158</v>
          </cell>
        </row>
        <row r="134">
          <cell r="AL134">
            <v>0</v>
          </cell>
        </row>
        <row r="135">
          <cell r="AL135">
            <v>24</v>
          </cell>
        </row>
        <row r="136">
          <cell r="AL136">
            <v>51</v>
          </cell>
        </row>
        <row r="137">
          <cell r="AL137">
            <v>0</v>
          </cell>
        </row>
        <row r="139">
          <cell r="B139" t="str">
            <v>조행연</v>
          </cell>
          <cell r="C139">
            <v>10320</v>
          </cell>
          <cell r="AL139">
            <v>192</v>
          </cell>
        </row>
        <row r="140">
          <cell r="AL140">
            <v>14</v>
          </cell>
        </row>
        <row r="141">
          <cell r="AL141">
            <v>32</v>
          </cell>
        </row>
        <row r="142">
          <cell r="AL142">
            <v>0</v>
          </cell>
        </row>
        <row r="143">
          <cell r="AL143">
            <v>0</v>
          </cell>
        </row>
        <row r="145">
          <cell r="B145" t="str">
            <v>김성경2</v>
          </cell>
          <cell r="C145">
            <v>10320</v>
          </cell>
          <cell r="AL145">
            <v>190</v>
          </cell>
        </row>
        <row r="146">
          <cell r="AL146">
            <v>14</v>
          </cell>
        </row>
        <row r="147">
          <cell r="AL147">
            <v>16</v>
          </cell>
        </row>
        <row r="148">
          <cell r="AL148">
            <v>0</v>
          </cell>
        </row>
        <row r="149">
          <cell r="AL149">
            <v>0</v>
          </cell>
        </row>
        <row r="151">
          <cell r="B151" t="str">
            <v>김현순</v>
          </cell>
          <cell r="C151">
            <v>10320</v>
          </cell>
          <cell r="AL151">
            <v>190</v>
          </cell>
        </row>
        <row r="152">
          <cell r="AL152">
            <v>14</v>
          </cell>
        </row>
        <row r="153">
          <cell r="AL153">
            <v>32</v>
          </cell>
        </row>
        <row r="154">
          <cell r="AL154">
            <v>0</v>
          </cell>
        </row>
        <row r="155">
          <cell r="AL155">
            <v>0</v>
          </cell>
        </row>
        <row r="157">
          <cell r="B157" t="str">
            <v>장희숙</v>
          </cell>
          <cell r="C157">
            <v>10320</v>
          </cell>
          <cell r="AL157">
            <v>192</v>
          </cell>
        </row>
        <row r="158">
          <cell r="AL158">
            <v>4</v>
          </cell>
        </row>
        <row r="159">
          <cell r="AL159">
            <v>24</v>
          </cell>
        </row>
        <row r="160">
          <cell r="AL160">
            <v>0</v>
          </cell>
        </row>
        <row r="161">
          <cell r="AL161">
            <v>0</v>
          </cell>
        </row>
        <row r="163">
          <cell r="B163" t="str">
            <v>김수정B</v>
          </cell>
          <cell r="C163">
            <v>10320</v>
          </cell>
          <cell r="AL163">
            <v>192</v>
          </cell>
        </row>
        <row r="164">
          <cell r="AL164">
            <v>16</v>
          </cell>
        </row>
        <row r="165">
          <cell r="AL165">
            <v>8</v>
          </cell>
        </row>
        <row r="166">
          <cell r="AL166">
            <v>0</v>
          </cell>
        </row>
        <row r="167">
          <cell r="AL167">
            <v>0</v>
          </cell>
        </row>
        <row r="169">
          <cell r="B169" t="str">
            <v>박서원B</v>
          </cell>
          <cell r="C169">
            <v>10320</v>
          </cell>
          <cell r="AL169">
            <v>182</v>
          </cell>
        </row>
        <row r="170">
          <cell r="AL170">
            <v>15</v>
          </cell>
        </row>
        <row r="171">
          <cell r="AL171">
            <v>32</v>
          </cell>
        </row>
        <row r="172">
          <cell r="AL172">
            <v>0</v>
          </cell>
        </row>
        <row r="173">
          <cell r="AL173">
            <v>0</v>
          </cell>
        </row>
        <row r="175">
          <cell r="B175" t="str">
            <v>최삼순</v>
          </cell>
          <cell r="C175">
            <v>10320</v>
          </cell>
          <cell r="AL175">
            <v>183</v>
          </cell>
        </row>
        <row r="176">
          <cell r="AL176">
            <v>12</v>
          </cell>
        </row>
        <row r="177">
          <cell r="AL177">
            <v>32</v>
          </cell>
        </row>
        <row r="178">
          <cell r="AL178">
            <v>0</v>
          </cell>
        </row>
        <row r="179">
          <cell r="AL179">
            <v>0</v>
          </cell>
        </row>
        <row r="181">
          <cell r="B181" t="str">
            <v>프라타레네린</v>
          </cell>
          <cell r="C181">
            <v>10320</v>
          </cell>
          <cell r="AL181">
            <v>190</v>
          </cell>
        </row>
        <row r="182">
          <cell r="AL182">
            <v>12</v>
          </cell>
        </row>
        <row r="183">
          <cell r="AL183">
            <v>0</v>
          </cell>
        </row>
        <row r="184">
          <cell r="AL184">
            <v>0</v>
          </cell>
        </row>
        <row r="185">
          <cell r="AL185">
            <v>0</v>
          </cell>
        </row>
        <row r="187">
          <cell r="B187" t="str">
            <v>육은심</v>
          </cell>
          <cell r="C187">
            <v>10320</v>
          </cell>
          <cell r="AL187">
            <v>190</v>
          </cell>
        </row>
        <row r="188">
          <cell r="AL188">
            <v>12</v>
          </cell>
        </row>
        <row r="189">
          <cell r="AL189">
            <v>24</v>
          </cell>
        </row>
        <row r="190">
          <cell r="AL190">
            <v>0</v>
          </cell>
        </row>
        <row r="191">
          <cell r="AL191">
            <v>0</v>
          </cell>
        </row>
        <row r="193">
          <cell r="B193" t="str">
            <v>김수현C</v>
          </cell>
          <cell r="C193">
            <v>10320</v>
          </cell>
          <cell r="AL193">
            <v>190</v>
          </cell>
        </row>
        <row r="194">
          <cell r="AL194">
            <v>10</v>
          </cell>
        </row>
        <row r="195">
          <cell r="AL195">
            <v>0</v>
          </cell>
        </row>
        <row r="196">
          <cell r="AL196">
            <v>0</v>
          </cell>
        </row>
        <row r="197">
          <cell r="AL197">
            <v>0</v>
          </cell>
        </row>
        <row r="199">
          <cell r="B199" t="str">
            <v>한계숙</v>
          </cell>
          <cell r="C199">
            <v>10320</v>
          </cell>
          <cell r="AL199">
            <v>192</v>
          </cell>
        </row>
        <row r="200">
          <cell r="AL200">
            <v>16</v>
          </cell>
        </row>
        <row r="201">
          <cell r="AL201">
            <v>32</v>
          </cell>
        </row>
        <row r="202">
          <cell r="AL202">
            <v>0</v>
          </cell>
        </row>
        <row r="203">
          <cell r="AL203">
            <v>0</v>
          </cell>
        </row>
        <row r="205">
          <cell r="B205" t="str">
            <v>풍춘향</v>
          </cell>
          <cell r="C205">
            <v>10320</v>
          </cell>
          <cell r="AL205">
            <v>190</v>
          </cell>
        </row>
        <row r="206">
          <cell r="AL206">
            <v>12</v>
          </cell>
        </row>
        <row r="207">
          <cell r="AL207">
            <v>32</v>
          </cell>
        </row>
        <row r="208">
          <cell r="AL208">
            <v>0</v>
          </cell>
        </row>
        <row r="209">
          <cell r="AL209">
            <v>0</v>
          </cell>
        </row>
        <row r="217">
          <cell r="B217" t="str">
            <v>김연순</v>
          </cell>
          <cell r="C217">
            <v>10320</v>
          </cell>
          <cell r="AL217">
            <v>190</v>
          </cell>
        </row>
        <row r="218">
          <cell r="AL218">
            <v>12</v>
          </cell>
        </row>
        <row r="219">
          <cell r="AL219">
            <v>24</v>
          </cell>
        </row>
        <row r="220">
          <cell r="AL220">
            <v>0</v>
          </cell>
        </row>
        <row r="221">
          <cell r="AL221">
            <v>0</v>
          </cell>
        </row>
        <row r="223">
          <cell r="B223" t="str">
            <v>지미경</v>
          </cell>
          <cell r="C223">
            <v>10320</v>
          </cell>
          <cell r="AL223">
            <v>186</v>
          </cell>
        </row>
        <row r="224">
          <cell r="AL224">
            <v>14</v>
          </cell>
        </row>
        <row r="225">
          <cell r="AL225">
            <v>24</v>
          </cell>
        </row>
        <row r="226">
          <cell r="AL226">
            <v>0</v>
          </cell>
        </row>
        <row r="227">
          <cell r="AL227">
            <v>0</v>
          </cell>
        </row>
        <row r="229">
          <cell r="B229" t="str">
            <v>쩐티남
(트란티남)</v>
          </cell>
          <cell r="C229">
            <v>10320</v>
          </cell>
          <cell r="AL229">
            <v>190</v>
          </cell>
        </row>
        <row r="230">
          <cell r="AL230">
            <v>10</v>
          </cell>
        </row>
        <row r="231">
          <cell r="AL231">
            <v>32</v>
          </cell>
        </row>
        <row r="232">
          <cell r="AL232">
            <v>0</v>
          </cell>
        </row>
        <row r="233">
          <cell r="AL233">
            <v>0</v>
          </cell>
        </row>
        <row r="235">
          <cell r="B235" t="str">
            <v>박혜선</v>
          </cell>
          <cell r="C235">
            <v>10320</v>
          </cell>
          <cell r="AL235">
            <v>158</v>
          </cell>
        </row>
        <row r="236">
          <cell r="AL236">
            <v>0</v>
          </cell>
        </row>
        <row r="237">
          <cell r="AL237">
            <v>32</v>
          </cell>
        </row>
        <row r="238">
          <cell r="AL238">
            <v>51</v>
          </cell>
        </row>
        <row r="241">
          <cell r="B241" t="str">
            <v>이수진</v>
          </cell>
          <cell r="C241">
            <v>10320</v>
          </cell>
          <cell r="AL241">
            <v>158</v>
          </cell>
        </row>
        <row r="242">
          <cell r="AL242">
            <v>0</v>
          </cell>
        </row>
        <row r="243">
          <cell r="AL243">
            <v>32</v>
          </cell>
        </row>
        <row r="244">
          <cell r="AL244">
            <v>51</v>
          </cell>
        </row>
        <row r="245">
          <cell r="AL245">
            <v>0</v>
          </cell>
        </row>
        <row r="247">
          <cell r="B247" t="str">
            <v>강명옥</v>
          </cell>
          <cell r="C247">
            <v>10320</v>
          </cell>
          <cell r="AL247">
            <v>174</v>
          </cell>
        </row>
        <row r="248">
          <cell r="AL248">
            <v>10</v>
          </cell>
        </row>
        <row r="249">
          <cell r="AL249">
            <v>24</v>
          </cell>
        </row>
        <row r="250">
          <cell r="AL250">
            <v>0</v>
          </cell>
        </row>
        <row r="251">
          <cell r="AL251">
            <v>0</v>
          </cell>
        </row>
        <row r="253">
          <cell r="B253" t="str">
            <v>최춘자</v>
          </cell>
          <cell r="C253">
            <v>10320</v>
          </cell>
          <cell r="AL253">
            <v>158</v>
          </cell>
        </row>
        <row r="254">
          <cell r="AL254">
            <v>0</v>
          </cell>
        </row>
        <row r="255">
          <cell r="AL255">
            <v>16</v>
          </cell>
        </row>
        <row r="256">
          <cell r="AL256">
            <v>51</v>
          </cell>
        </row>
        <row r="257">
          <cell r="AL257">
            <v>0</v>
          </cell>
        </row>
        <row r="259">
          <cell r="B259" t="str">
            <v>레티탐</v>
          </cell>
          <cell r="C259">
            <v>10320</v>
          </cell>
          <cell r="AL259">
            <v>158</v>
          </cell>
        </row>
        <row r="260">
          <cell r="AL260">
            <v>0</v>
          </cell>
        </row>
        <row r="261">
          <cell r="AL261">
            <v>32</v>
          </cell>
        </row>
        <row r="262">
          <cell r="AL262">
            <v>51</v>
          </cell>
        </row>
        <row r="263">
          <cell r="AL263">
            <v>0</v>
          </cell>
        </row>
        <row r="265">
          <cell r="B265" t="str">
            <v>노미순</v>
          </cell>
          <cell r="C265">
            <v>10320</v>
          </cell>
          <cell r="AL265">
            <v>192</v>
          </cell>
        </row>
        <row r="266">
          <cell r="AL266">
            <v>16</v>
          </cell>
        </row>
        <row r="267">
          <cell r="AL267">
            <v>32</v>
          </cell>
        </row>
        <row r="268">
          <cell r="AL268">
            <v>0</v>
          </cell>
        </row>
        <row r="269">
          <cell r="AL269">
            <v>0</v>
          </cell>
        </row>
        <row r="271">
          <cell r="B271" t="str">
            <v>한서현</v>
          </cell>
          <cell r="C271">
            <v>10320</v>
          </cell>
          <cell r="AL271">
            <v>190</v>
          </cell>
        </row>
        <row r="272">
          <cell r="AL272">
            <v>12</v>
          </cell>
        </row>
        <row r="273">
          <cell r="AL273">
            <v>32</v>
          </cell>
        </row>
        <row r="274">
          <cell r="AL274">
            <v>0</v>
          </cell>
        </row>
        <row r="275">
          <cell r="AL275">
            <v>0</v>
          </cell>
        </row>
        <row r="277">
          <cell r="B277" t="str">
            <v>응웬티회</v>
          </cell>
          <cell r="C277">
            <v>10320</v>
          </cell>
          <cell r="AL277">
            <v>158</v>
          </cell>
        </row>
        <row r="278">
          <cell r="AL278">
            <v>10</v>
          </cell>
        </row>
        <row r="279">
          <cell r="AL279">
            <v>24</v>
          </cell>
        </row>
        <row r="280">
          <cell r="AL280">
            <v>0</v>
          </cell>
        </row>
        <row r="281">
          <cell r="AL281">
            <v>0</v>
          </cell>
        </row>
        <row r="283">
          <cell r="B283" t="str">
            <v>정오례</v>
          </cell>
          <cell r="C283">
            <v>10320</v>
          </cell>
          <cell r="AL283">
            <v>190</v>
          </cell>
        </row>
        <row r="284">
          <cell r="AL284">
            <v>12</v>
          </cell>
        </row>
        <row r="285">
          <cell r="AL285">
            <v>16</v>
          </cell>
        </row>
        <row r="286">
          <cell r="AL286">
            <v>0</v>
          </cell>
        </row>
        <row r="287">
          <cell r="AL287">
            <v>0</v>
          </cell>
        </row>
        <row r="289">
          <cell r="B289" t="str">
            <v>문영</v>
          </cell>
          <cell r="C289">
            <v>10320</v>
          </cell>
          <cell r="AL289">
            <v>186</v>
          </cell>
        </row>
        <row r="290">
          <cell r="AL290">
            <v>14</v>
          </cell>
        </row>
        <row r="291">
          <cell r="AL291">
            <v>16</v>
          </cell>
        </row>
        <row r="292">
          <cell r="AL292">
            <v>0</v>
          </cell>
        </row>
        <row r="293">
          <cell r="AL293">
            <v>0</v>
          </cell>
        </row>
        <row r="295">
          <cell r="B295" t="str">
            <v>박정희B</v>
          </cell>
          <cell r="C295">
            <v>10320</v>
          </cell>
          <cell r="AL295">
            <v>190</v>
          </cell>
        </row>
        <row r="296">
          <cell r="AL296">
            <v>10</v>
          </cell>
        </row>
        <row r="297">
          <cell r="AL297">
            <v>32</v>
          </cell>
        </row>
        <row r="298">
          <cell r="AL298">
            <v>0</v>
          </cell>
        </row>
        <row r="299">
          <cell r="AL299">
            <v>0</v>
          </cell>
        </row>
        <row r="301">
          <cell r="B301" t="str">
            <v>임정숙</v>
          </cell>
          <cell r="C301">
            <v>10320</v>
          </cell>
          <cell r="AL301">
            <v>188</v>
          </cell>
        </row>
        <row r="302">
          <cell r="AL302">
            <v>14</v>
          </cell>
        </row>
        <row r="303">
          <cell r="AL303">
            <v>24</v>
          </cell>
        </row>
        <row r="304">
          <cell r="AL304">
            <v>0</v>
          </cell>
        </row>
        <row r="305">
          <cell r="AL305">
            <v>0</v>
          </cell>
        </row>
        <row r="307">
          <cell r="B307" t="str">
            <v>한부덕</v>
          </cell>
          <cell r="C307">
            <v>10320</v>
          </cell>
          <cell r="AL307">
            <v>174</v>
          </cell>
        </row>
        <row r="308">
          <cell r="AL308">
            <v>12</v>
          </cell>
        </row>
        <row r="309">
          <cell r="AL309">
            <v>16</v>
          </cell>
        </row>
        <row r="310">
          <cell r="AL310">
            <v>0</v>
          </cell>
        </row>
        <row r="311">
          <cell r="AL311">
            <v>0</v>
          </cell>
        </row>
        <row r="313">
          <cell r="B313" t="str">
            <v>후인민뉴</v>
          </cell>
          <cell r="C313">
            <v>10320</v>
          </cell>
          <cell r="AL313">
            <v>182</v>
          </cell>
        </row>
        <row r="314">
          <cell r="AL314">
            <v>12</v>
          </cell>
        </row>
        <row r="315">
          <cell r="AL315">
            <v>18</v>
          </cell>
        </row>
        <row r="316">
          <cell r="AL316">
            <v>0</v>
          </cell>
        </row>
        <row r="317">
          <cell r="AL317">
            <v>0</v>
          </cell>
        </row>
        <row r="319">
          <cell r="B319" t="str">
            <v>송순옥</v>
          </cell>
          <cell r="C319">
            <v>10320</v>
          </cell>
          <cell r="AL319">
            <v>14</v>
          </cell>
        </row>
        <row r="320">
          <cell r="AL320">
            <v>1.5</v>
          </cell>
        </row>
        <row r="321">
          <cell r="AL321">
            <v>0</v>
          </cell>
        </row>
        <row r="322">
          <cell r="AL322">
            <v>0</v>
          </cell>
        </row>
        <row r="323">
          <cell r="AL323">
            <v>0</v>
          </cell>
        </row>
        <row r="325">
          <cell r="B325" t="str">
            <v>응우옌티후옌짱</v>
          </cell>
          <cell r="C325">
            <v>10320</v>
          </cell>
          <cell r="AL325">
            <v>190</v>
          </cell>
        </row>
        <row r="326">
          <cell r="AL326">
            <v>12</v>
          </cell>
        </row>
        <row r="327">
          <cell r="AL327">
            <v>32</v>
          </cell>
        </row>
        <row r="328">
          <cell r="AL328">
            <v>0</v>
          </cell>
        </row>
        <row r="329">
          <cell r="AL329">
            <v>0</v>
          </cell>
        </row>
        <row r="331">
          <cell r="B331" t="str">
            <v>김보아</v>
          </cell>
          <cell r="C331">
            <v>10320</v>
          </cell>
          <cell r="AL331">
            <v>174</v>
          </cell>
        </row>
        <row r="332">
          <cell r="AL332">
            <v>4</v>
          </cell>
        </row>
        <row r="333">
          <cell r="AL333">
            <v>16</v>
          </cell>
        </row>
        <row r="334">
          <cell r="AL334">
            <v>0</v>
          </cell>
        </row>
        <row r="335">
          <cell r="AL335">
            <v>0</v>
          </cell>
        </row>
        <row r="337">
          <cell r="B337" t="str">
            <v>포브스레이멘</v>
          </cell>
          <cell r="C337">
            <v>10320</v>
          </cell>
          <cell r="AL337">
            <v>190</v>
          </cell>
        </row>
        <row r="338">
          <cell r="AL338">
            <v>10</v>
          </cell>
        </row>
        <row r="339">
          <cell r="AL339">
            <v>24</v>
          </cell>
        </row>
        <row r="340">
          <cell r="AL340">
            <v>0</v>
          </cell>
        </row>
        <row r="341">
          <cell r="AL341">
            <v>0</v>
          </cell>
        </row>
        <row r="343">
          <cell r="B343" t="str">
            <v>율리야</v>
          </cell>
          <cell r="C343">
            <v>10320</v>
          </cell>
          <cell r="AL343">
            <v>190</v>
          </cell>
        </row>
        <row r="344">
          <cell r="AL344">
            <v>8</v>
          </cell>
        </row>
        <row r="345">
          <cell r="AL345">
            <v>0</v>
          </cell>
        </row>
        <row r="346">
          <cell r="AL346">
            <v>0</v>
          </cell>
        </row>
        <row r="347">
          <cell r="AL347">
            <v>0</v>
          </cell>
        </row>
        <row r="349">
          <cell r="B349" t="str">
            <v>원채영</v>
          </cell>
          <cell r="C349">
            <v>10320</v>
          </cell>
          <cell r="AL349">
            <v>182</v>
          </cell>
        </row>
        <row r="350">
          <cell r="AL350">
            <v>0</v>
          </cell>
        </row>
        <row r="351">
          <cell r="AL351">
            <v>0</v>
          </cell>
        </row>
        <row r="352">
          <cell r="AL352">
            <v>0</v>
          </cell>
        </row>
        <row r="353">
          <cell r="AL353">
            <v>0</v>
          </cell>
        </row>
        <row r="355">
          <cell r="B355" t="str">
            <v>김미선</v>
          </cell>
          <cell r="C355">
            <v>10320</v>
          </cell>
          <cell r="AL355">
            <v>158</v>
          </cell>
        </row>
        <row r="356">
          <cell r="AL356">
            <v>0</v>
          </cell>
        </row>
        <row r="357">
          <cell r="AL357">
            <v>0</v>
          </cell>
        </row>
        <row r="358">
          <cell r="AL358">
            <v>0</v>
          </cell>
        </row>
        <row r="359">
          <cell r="AL359">
            <v>0</v>
          </cell>
        </row>
        <row r="361">
          <cell r="B361" t="str">
            <v>진수연</v>
          </cell>
          <cell r="C361">
            <v>10320</v>
          </cell>
          <cell r="AL361">
            <v>184</v>
          </cell>
        </row>
        <row r="362">
          <cell r="AL362">
            <v>10</v>
          </cell>
        </row>
        <row r="363">
          <cell r="AL363">
            <v>32</v>
          </cell>
        </row>
        <row r="364">
          <cell r="AL364">
            <v>0</v>
          </cell>
        </row>
        <row r="365">
          <cell r="AL365">
            <v>0</v>
          </cell>
        </row>
        <row r="367">
          <cell r="B367" t="str">
            <v>이방미</v>
          </cell>
          <cell r="C367">
            <v>10320</v>
          </cell>
          <cell r="AL367">
            <v>134</v>
          </cell>
        </row>
        <row r="368">
          <cell r="AL368">
            <v>4</v>
          </cell>
        </row>
        <row r="369">
          <cell r="AL369">
            <v>16</v>
          </cell>
        </row>
        <row r="370">
          <cell r="AL370">
            <v>0</v>
          </cell>
        </row>
        <row r="371">
          <cell r="AL371">
            <v>0</v>
          </cell>
        </row>
        <row r="373">
          <cell r="B373" t="str">
            <v>이혜영D</v>
          </cell>
          <cell r="C373">
            <v>10320</v>
          </cell>
          <cell r="AL373">
            <v>166</v>
          </cell>
        </row>
        <row r="374">
          <cell r="AL374">
            <v>2</v>
          </cell>
        </row>
        <row r="375">
          <cell r="AL375">
            <v>32</v>
          </cell>
        </row>
        <row r="376">
          <cell r="AL376">
            <v>0</v>
          </cell>
        </row>
        <row r="377">
          <cell r="AL377">
            <v>0</v>
          </cell>
        </row>
        <row r="379">
          <cell r="B379" t="str">
            <v>김선미D</v>
          </cell>
          <cell r="C379">
            <v>10320</v>
          </cell>
          <cell r="AL379">
            <v>184</v>
          </cell>
        </row>
        <row r="380">
          <cell r="AL380">
            <v>14</v>
          </cell>
        </row>
        <row r="381">
          <cell r="AL381">
            <v>32</v>
          </cell>
        </row>
        <row r="382">
          <cell r="AL382">
            <v>0</v>
          </cell>
        </row>
        <row r="383">
          <cell r="AL383">
            <v>0</v>
          </cell>
        </row>
        <row r="385">
          <cell r="B385" t="str">
            <v>김순주</v>
          </cell>
          <cell r="C385">
            <v>10320</v>
          </cell>
          <cell r="AL385">
            <v>182</v>
          </cell>
        </row>
        <row r="386">
          <cell r="AL386">
            <v>0</v>
          </cell>
        </row>
        <row r="387">
          <cell r="AL387">
            <v>0</v>
          </cell>
        </row>
        <row r="388">
          <cell r="AL388">
            <v>0</v>
          </cell>
        </row>
        <row r="389">
          <cell r="AL389">
            <v>0</v>
          </cell>
        </row>
        <row r="391">
          <cell r="B391" t="str">
            <v>궉기연</v>
          </cell>
          <cell r="C391">
            <v>10320</v>
          </cell>
          <cell r="AL391">
            <v>166</v>
          </cell>
        </row>
        <row r="392">
          <cell r="AL392">
            <v>0</v>
          </cell>
        </row>
        <row r="393">
          <cell r="AL393">
            <v>0</v>
          </cell>
        </row>
        <row r="394">
          <cell r="AL394">
            <v>0</v>
          </cell>
        </row>
        <row r="395">
          <cell r="AL395">
            <v>0</v>
          </cell>
        </row>
        <row r="397">
          <cell r="B397" t="str">
            <v>오수빈</v>
          </cell>
          <cell r="C397">
            <v>10320</v>
          </cell>
          <cell r="AL397">
            <v>14</v>
          </cell>
        </row>
        <row r="398">
          <cell r="AL398">
            <v>0</v>
          </cell>
        </row>
        <row r="399">
          <cell r="AL399">
            <v>0</v>
          </cell>
        </row>
        <row r="400">
          <cell r="AL400">
            <v>0</v>
          </cell>
        </row>
        <row r="401">
          <cell r="AL401">
            <v>0</v>
          </cell>
        </row>
        <row r="403">
          <cell r="B403" t="str">
            <v>위파위</v>
          </cell>
          <cell r="C403">
            <v>10320</v>
          </cell>
          <cell r="AL403">
            <v>6</v>
          </cell>
        </row>
        <row r="404">
          <cell r="AL404">
            <v>0</v>
          </cell>
        </row>
        <row r="405">
          <cell r="AL405">
            <v>0</v>
          </cell>
        </row>
        <row r="406">
          <cell r="AL406">
            <v>0</v>
          </cell>
        </row>
        <row r="407">
          <cell r="AL407">
            <v>0</v>
          </cell>
        </row>
        <row r="409">
          <cell r="B409" t="str">
            <v>서미란B</v>
          </cell>
          <cell r="C409">
            <v>10320</v>
          </cell>
          <cell r="AL409">
            <v>8</v>
          </cell>
        </row>
        <row r="410">
          <cell r="AL410">
            <v>0</v>
          </cell>
        </row>
        <row r="411">
          <cell r="AL411">
            <v>0</v>
          </cell>
        </row>
        <row r="412">
          <cell r="AL412">
            <v>0</v>
          </cell>
        </row>
        <row r="413">
          <cell r="AL413">
            <v>0</v>
          </cell>
        </row>
        <row r="415">
          <cell r="B415" t="str">
            <v>박소연B</v>
          </cell>
          <cell r="C415">
            <v>10320</v>
          </cell>
          <cell r="AL415">
            <v>8</v>
          </cell>
        </row>
        <row r="416">
          <cell r="AL416">
            <v>0</v>
          </cell>
        </row>
        <row r="417">
          <cell r="AL417">
            <v>0</v>
          </cell>
        </row>
        <row r="418">
          <cell r="AL418">
            <v>0</v>
          </cell>
        </row>
        <row r="419">
          <cell r="AL419">
            <v>0</v>
          </cell>
        </row>
        <row r="421">
          <cell r="B421" t="str">
            <v>최수연C</v>
          </cell>
          <cell r="C421">
            <v>10320</v>
          </cell>
          <cell r="AL421">
            <v>40</v>
          </cell>
        </row>
        <row r="422">
          <cell r="AL422">
            <v>0</v>
          </cell>
        </row>
        <row r="423">
          <cell r="AL423">
            <v>0</v>
          </cell>
        </row>
        <row r="424">
          <cell r="AL424">
            <v>0</v>
          </cell>
        </row>
        <row r="425">
          <cell r="AL425">
            <v>0</v>
          </cell>
        </row>
        <row r="427">
          <cell r="B427" t="str">
            <v>이학래</v>
          </cell>
          <cell r="AL427">
            <v>96</v>
          </cell>
        </row>
        <row r="428">
          <cell r="AL428">
            <v>6</v>
          </cell>
        </row>
        <row r="429">
          <cell r="AL429">
            <v>16</v>
          </cell>
        </row>
        <row r="430">
          <cell r="AL430">
            <v>0</v>
          </cell>
        </row>
        <row r="431">
          <cell r="AL431">
            <v>0</v>
          </cell>
        </row>
        <row r="433">
          <cell r="B433" t="str">
            <v>마리나</v>
          </cell>
          <cell r="AL433">
            <v>104</v>
          </cell>
        </row>
        <row r="434">
          <cell r="AL434">
            <v>4</v>
          </cell>
        </row>
        <row r="435">
          <cell r="AL435">
            <v>0</v>
          </cell>
        </row>
        <row r="436">
          <cell r="AL436">
            <v>0</v>
          </cell>
        </row>
        <row r="437">
          <cell r="AL437">
            <v>0</v>
          </cell>
        </row>
        <row r="439">
          <cell r="B439" t="str">
            <v>김명희B</v>
          </cell>
          <cell r="AL439">
            <v>136</v>
          </cell>
        </row>
        <row r="440">
          <cell r="AL440">
            <v>4</v>
          </cell>
        </row>
        <row r="441">
          <cell r="AL441">
            <v>0</v>
          </cell>
        </row>
        <row r="442">
          <cell r="AL442">
            <v>0</v>
          </cell>
        </row>
        <row r="443">
          <cell r="AL443">
            <v>0</v>
          </cell>
        </row>
        <row r="445">
          <cell r="B445" t="str">
            <v>이현정C</v>
          </cell>
          <cell r="AL445">
            <v>96</v>
          </cell>
        </row>
        <row r="446">
          <cell r="AL446">
            <v>6</v>
          </cell>
        </row>
        <row r="447">
          <cell r="AL447">
            <v>16</v>
          </cell>
        </row>
        <row r="448">
          <cell r="AL448">
            <v>0</v>
          </cell>
        </row>
        <row r="449">
          <cell r="AL449">
            <v>0</v>
          </cell>
        </row>
        <row r="451">
          <cell r="B451" t="str">
            <v>이효진</v>
          </cell>
          <cell r="AL451">
            <v>8</v>
          </cell>
        </row>
        <row r="452">
          <cell r="AL452">
            <v>0</v>
          </cell>
        </row>
        <row r="453">
          <cell r="AL453">
            <v>0</v>
          </cell>
        </row>
        <row r="454">
          <cell r="AL454">
            <v>0</v>
          </cell>
        </row>
        <row r="455">
          <cell r="AL455">
            <v>0</v>
          </cell>
        </row>
        <row r="457">
          <cell r="B457" t="str">
            <v>문지현</v>
          </cell>
          <cell r="AL457">
            <v>10</v>
          </cell>
        </row>
        <row r="458">
          <cell r="AL458">
            <v>0</v>
          </cell>
        </row>
        <row r="459">
          <cell r="AL459">
            <v>0</v>
          </cell>
        </row>
        <row r="460">
          <cell r="AL460">
            <v>0</v>
          </cell>
        </row>
        <row r="461">
          <cell r="AL461">
            <v>0</v>
          </cell>
        </row>
        <row r="463">
          <cell r="B463" t="str">
            <v>문지수</v>
          </cell>
          <cell r="AL463">
            <v>10</v>
          </cell>
        </row>
        <row r="464">
          <cell r="AL464">
            <v>0</v>
          </cell>
        </row>
        <row r="465">
          <cell r="AL465">
            <v>0</v>
          </cell>
        </row>
        <row r="466">
          <cell r="AL466">
            <v>0</v>
          </cell>
        </row>
        <row r="467">
          <cell r="AL467">
            <v>0</v>
          </cell>
        </row>
        <row r="469">
          <cell r="B469" t="str">
            <v>최윤희</v>
          </cell>
          <cell r="AL469">
            <v>48</v>
          </cell>
        </row>
        <row r="470">
          <cell r="AL470">
            <v>0</v>
          </cell>
        </row>
        <row r="471">
          <cell r="AL471">
            <v>0</v>
          </cell>
        </row>
        <row r="472">
          <cell r="AL472">
            <v>0</v>
          </cell>
        </row>
        <row r="473">
          <cell r="AL473">
            <v>0</v>
          </cell>
        </row>
        <row r="475">
          <cell r="B475" t="str">
            <v>원차연</v>
          </cell>
          <cell r="AL475">
            <v>16</v>
          </cell>
        </row>
        <row r="476">
          <cell r="AL476">
            <v>0</v>
          </cell>
        </row>
        <row r="477">
          <cell r="AL477">
            <v>0</v>
          </cell>
        </row>
        <row r="478">
          <cell r="AL478">
            <v>0</v>
          </cell>
        </row>
        <row r="479">
          <cell r="AL479">
            <v>0</v>
          </cell>
        </row>
        <row r="481">
          <cell r="B481" t="str">
            <v>리티민홍</v>
          </cell>
          <cell r="AL481">
            <v>24</v>
          </cell>
        </row>
        <row r="482">
          <cell r="AL482">
            <v>0</v>
          </cell>
        </row>
        <row r="483">
          <cell r="AL483">
            <v>0</v>
          </cell>
        </row>
        <row r="484">
          <cell r="AL484">
            <v>0</v>
          </cell>
        </row>
        <row r="485">
          <cell r="AL485">
            <v>0</v>
          </cell>
        </row>
        <row r="487">
          <cell r="B487" t="str">
            <v>박주연</v>
          </cell>
          <cell r="AL487">
            <v>8</v>
          </cell>
        </row>
        <row r="488">
          <cell r="AL488">
            <v>0</v>
          </cell>
        </row>
        <row r="489">
          <cell r="AL489">
            <v>0</v>
          </cell>
        </row>
        <row r="490">
          <cell r="AL490">
            <v>0</v>
          </cell>
        </row>
        <row r="491">
          <cell r="AL491">
            <v>0</v>
          </cell>
        </row>
        <row r="493">
          <cell r="B493" t="str">
            <v>이주성</v>
          </cell>
          <cell r="AL493">
            <v>8</v>
          </cell>
        </row>
        <row r="494">
          <cell r="AL494">
            <v>0</v>
          </cell>
        </row>
        <row r="495">
          <cell r="AL495">
            <v>0</v>
          </cell>
        </row>
        <row r="496">
          <cell r="AL496">
            <v>0</v>
          </cell>
        </row>
        <row r="497">
          <cell r="AL497">
            <v>0</v>
          </cell>
        </row>
        <row r="499">
          <cell r="B499" t="str">
            <v>최보경</v>
          </cell>
          <cell r="AL499">
            <v>8</v>
          </cell>
        </row>
        <row r="500">
          <cell r="AL500">
            <v>0</v>
          </cell>
        </row>
        <row r="501">
          <cell r="AL501">
            <v>0</v>
          </cell>
        </row>
        <row r="502">
          <cell r="AL502">
            <v>0</v>
          </cell>
        </row>
        <row r="503">
          <cell r="AL503">
            <v>0</v>
          </cell>
        </row>
        <row r="505">
          <cell r="B505" t="str">
            <v>김유진E</v>
          </cell>
          <cell r="AL505">
            <v>8</v>
          </cell>
        </row>
        <row r="506">
          <cell r="AL506">
            <v>0</v>
          </cell>
        </row>
        <row r="507">
          <cell r="AL507">
            <v>0</v>
          </cell>
        </row>
        <row r="508">
          <cell r="AL508">
            <v>0</v>
          </cell>
        </row>
        <row r="509">
          <cell r="AL509">
            <v>0</v>
          </cell>
        </row>
        <row r="511">
          <cell r="B511" t="str">
            <v>이정화B</v>
          </cell>
          <cell r="AL511">
            <v>8</v>
          </cell>
        </row>
        <row r="512">
          <cell r="AL512">
            <v>0</v>
          </cell>
        </row>
        <row r="513">
          <cell r="AL513">
            <v>0</v>
          </cell>
        </row>
        <row r="514">
          <cell r="AL514">
            <v>0</v>
          </cell>
        </row>
        <row r="515">
          <cell r="AL515">
            <v>0</v>
          </cell>
        </row>
        <row r="517">
          <cell r="B517" t="str">
            <v>최금화</v>
          </cell>
          <cell r="AL517">
            <v>8</v>
          </cell>
        </row>
        <row r="518">
          <cell r="AL518">
            <v>0</v>
          </cell>
        </row>
        <row r="519">
          <cell r="AL519">
            <v>0</v>
          </cell>
        </row>
        <row r="520">
          <cell r="AL520">
            <v>0</v>
          </cell>
        </row>
        <row r="521">
          <cell r="AL521">
            <v>0</v>
          </cell>
        </row>
        <row r="523">
          <cell r="B523" t="str">
            <v>김미경</v>
          </cell>
          <cell r="AL523">
            <v>8</v>
          </cell>
        </row>
        <row r="524">
          <cell r="AL524">
            <v>0</v>
          </cell>
        </row>
        <row r="525">
          <cell r="AL525">
            <v>0</v>
          </cell>
        </row>
        <row r="526">
          <cell r="AL526">
            <v>0</v>
          </cell>
        </row>
        <row r="527">
          <cell r="AL527">
            <v>0</v>
          </cell>
        </row>
        <row r="529">
          <cell r="AL529">
            <v>0</v>
          </cell>
        </row>
        <row r="530">
          <cell r="AL530">
            <v>0</v>
          </cell>
        </row>
        <row r="531">
          <cell r="AL531">
            <v>0</v>
          </cell>
        </row>
        <row r="532">
          <cell r="AL532">
            <v>0</v>
          </cell>
        </row>
        <row r="533">
          <cell r="AL533">
            <v>0</v>
          </cell>
        </row>
        <row r="535">
          <cell r="AL535">
            <v>0</v>
          </cell>
        </row>
        <row r="536">
          <cell r="AL536">
            <v>0</v>
          </cell>
        </row>
        <row r="538">
          <cell r="AL538">
            <v>0</v>
          </cell>
        </row>
        <row r="539">
          <cell r="AL539">
            <v>0</v>
          </cell>
        </row>
        <row r="541">
          <cell r="AL541">
            <v>0</v>
          </cell>
        </row>
        <row r="542">
          <cell r="AL542">
            <v>0</v>
          </cell>
        </row>
        <row r="544">
          <cell r="AL544">
            <v>0</v>
          </cell>
        </row>
        <row r="545">
          <cell r="AL545">
            <v>0</v>
          </cell>
        </row>
        <row r="547">
          <cell r="AL547">
            <v>0</v>
          </cell>
        </row>
        <row r="548">
          <cell r="AL548">
            <v>0</v>
          </cell>
        </row>
        <row r="550">
          <cell r="AL550">
            <v>0</v>
          </cell>
        </row>
        <row r="551">
          <cell r="AL551">
            <v>0</v>
          </cell>
        </row>
        <row r="553">
          <cell r="AL553">
            <v>0</v>
          </cell>
        </row>
        <row r="554">
          <cell r="AL554">
            <v>0</v>
          </cell>
        </row>
        <row r="556">
          <cell r="AL556">
            <v>0</v>
          </cell>
        </row>
        <row r="557">
          <cell r="AL557">
            <v>0</v>
          </cell>
        </row>
        <row r="559">
          <cell r="AL559">
            <v>0</v>
          </cell>
        </row>
        <row r="560">
          <cell r="AL560">
            <v>0</v>
          </cell>
        </row>
        <row r="562">
          <cell r="AL562">
            <v>0</v>
          </cell>
        </row>
        <row r="563">
          <cell r="AL563">
            <v>0</v>
          </cell>
        </row>
        <row r="565">
          <cell r="AL565">
            <v>0</v>
          </cell>
        </row>
        <row r="566">
          <cell r="AL566">
            <v>0</v>
          </cell>
        </row>
        <row r="568">
          <cell r="AL568">
            <v>0</v>
          </cell>
        </row>
        <row r="569">
          <cell r="AL569">
            <v>0</v>
          </cell>
        </row>
        <row r="571">
          <cell r="AL571">
            <v>0</v>
          </cell>
        </row>
        <row r="572">
          <cell r="AL572">
            <v>0</v>
          </cell>
        </row>
        <row r="574">
          <cell r="AL574">
            <v>0</v>
          </cell>
        </row>
        <row r="575">
          <cell r="AL575">
            <v>0</v>
          </cell>
        </row>
        <row r="577">
          <cell r="AL577">
            <v>0</v>
          </cell>
        </row>
        <row r="578">
          <cell r="AL578">
            <v>0</v>
          </cell>
        </row>
        <row r="580">
          <cell r="AL580">
            <v>0</v>
          </cell>
        </row>
        <row r="581">
          <cell r="AL581">
            <v>0</v>
          </cell>
        </row>
        <row r="583">
          <cell r="AL583">
            <v>0</v>
          </cell>
        </row>
        <row r="584">
          <cell r="AL584">
            <v>0</v>
          </cell>
        </row>
        <row r="586">
          <cell r="AL586">
            <v>0</v>
          </cell>
        </row>
        <row r="587">
          <cell r="AL587">
            <v>0</v>
          </cell>
        </row>
        <row r="589">
          <cell r="AL589">
            <v>0</v>
          </cell>
        </row>
        <row r="590">
          <cell r="AL590">
            <v>0</v>
          </cell>
        </row>
        <row r="592">
          <cell r="AL592">
            <v>0</v>
          </cell>
        </row>
        <row r="593">
          <cell r="AL593">
            <v>0</v>
          </cell>
        </row>
        <row r="595">
          <cell r="AL595">
            <v>0</v>
          </cell>
        </row>
        <row r="596">
          <cell r="AL596">
            <v>0</v>
          </cell>
        </row>
        <row r="598">
          <cell r="AL598">
            <v>0</v>
          </cell>
        </row>
        <row r="599">
          <cell r="AL599">
            <v>0</v>
          </cell>
        </row>
        <row r="601">
          <cell r="AL601">
            <v>0</v>
          </cell>
        </row>
        <row r="602">
          <cell r="AL602">
            <v>0</v>
          </cell>
        </row>
        <row r="603">
          <cell r="AL603">
            <v>0</v>
          </cell>
        </row>
        <row r="604">
          <cell r="AL604">
            <v>0</v>
          </cell>
        </row>
        <row r="605">
          <cell r="AL605">
            <v>0</v>
          </cell>
        </row>
        <row r="607">
          <cell r="AL607">
            <v>0</v>
          </cell>
        </row>
        <row r="608">
          <cell r="AL608">
            <v>0</v>
          </cell>
        </row>
        <row r="609">
          <cell r="AL609">
            <v>0</v>
          </cell>
        </row>
        <row r="610">
          <cell r="AL610">
            <v>0</v>
          </cell>
        </row>
        <row r="611">
          <cell r="AL611">
            <v>0</v>
          </cell>
        </row>
        <row r="613">
          <cell r="AL613">
            <v>0</v>
          </cell>
        </row>
        <row r="614">
          <cell r="AL614">
            <v>0</v>
          </cell>
        </row>
        <row r="615">
          <cell r="AL615">
            <v>0</v>
          </cell>
        </row>
        <row r="616">
          <cell r="AL616">
            <v>0</v>
          </cell>
        </row>
        <row r="617">
          <cell r="AL617">
            <v>0</v>
          </cell>
        </row>
        <row r="619">
          <cell r="AL619">
            <v>0</v>
          </cell>
        </row>
        <row r="620">
          <cell r="AL620">
            <v>0</v>
          </cell>
        </row>
        <row r="621">
          <cell r="AL621">
            <v>0</v>
          </cell>
        </row>
        <row r="622">
          <cell r="AL622">
            <v>0</v>
          </cell>
        </row>
        <row r="623">
          <cell r="AL623">
            <v>0</v>
          </cell>
        </row>
        <row r="625">
          <cell r="AL625">
            <v>0</v>
          </cell>
        </row>
        <row r="626">
          <cell r="AL626">
            <v>0</v>
          </cell>
        </row>
        <row r="627">
          <cell r="AL627">
            <v>0</v>
          </cell>
        </row>
        <row r="628">
          <cell r="AL628">
            <v>0</v>
          </cell>
        </row>
        <row r="629">
          <cell r="AL629">
            <v>0</v>
          </cell>
        </row>
        <row r="631">
          <cell r="AL631">
            <v>0</v>
          </cell>
        </row>
        <row r="632">
          <cell r="AL632">
            <v>0</v>
          </cell>
        </row>
        <row r="633">
          <cell r="AL633">
            <v>0</v>
          </cell>
        </row>
        <row r="634">
          <cell r="AL634">
            <v>0</v>
          </cell>
        </row>
        <row r="635">
          <cell r="AL635">
            <v>0</v>
          </cell>
        </row>
        <row r="637">
          <cell r="AL637">
            <v>0</v>
          </cell>
        </row>
        <row r="638">
          <cell r="AL638">
            <v>0</v>
          </cell>
        </row>
        <row r="639">
          <cell r="AL639">
            <v>0</v>
          </cell>
        </row>
        <row r="640">
          <cell r="AL640">
            <v>0</v>
          </cell>
        </row>
        <row r="641">
          <cell r="AL641">
            <v>0</v>
          </cell>
        </row>
        <row r="643">
          <cell r="AL643">
            <v>0</v>
          </cell>
        </row>
        <row r="644">
          <cell r="AL644">
            <v>0</v>
          </cell>
        </row>
        <row r="646">
          <cell r="AL646">
            <v>0</v>
          </cell>
        </row>
        <row r="647">
          <cell r="AL647">
            <v>0</v>
          </cell>
        </row>
        <row r="649">
          <cell r="AL649">
            <v>0</v>
          </cell>
        </row>
        <row r="650">
          <cell r="AL650">
            <v>0</v>
          </cell>
        </row>
        <row r="652">
          <cell r="AL652">
            <v>0</v>
          </cell>
        </row>
        <row r="653">
          <cell r="AL653">
            <v>0</v>
          </cell>
        </row>
        <row r="655">
          <cell r="AL655">
            <v>0</v>
          </cell>
        </row>
        <row r="656">
          <cell r="AL656">
            <v>0</v>
          </cell>
        </row>
        <row r="658">
          <cell r="AL658">
            <v>0</v>
          </cell>
        </row>
        <row r="659">
          <cell r="AL659">
            <v>0</v>
          </cell>
        </row>
        <row r="661">
          <cell r="AL661">
            <v>0</v>
          </cell>
        </row>
        <row r="662">
          <cell r="AL662">
            <v>0</v>
          </cell>
        </row>
        <row r="664">
          <cell r="AL664">
            <v>0</v>
          </cell>
        </row>
        <row r="665">
          <cell r="AL665">
            <v>0</v>
          </cell>
        </row>
        <row r="667">
          <cell r="AL667">
            <v>0</v>
          </cell>
        </row>
        <row r="668">
          <cell r="AL668">
            <v>0</v>
          </cell>
        </row>
        <row r="670">
          <cell r="AL670">
            <v>0</v>
          </cell>
        </row>
        <row r="671">
          <cell r="AL671">
            <v>0</v>
          </cell>
        </row>
        <row r="673">
          <cell r="AL673">
            <v>0</v>
          </cell>
        </row>
        <row r="674">
          <cell r="AL674">
            <v>0</v>
          </cell>
        </row>
        <row r="676">
          <cell r="AL676">
            <v>0</v>
          </cell>
        </row>
        <row r="677">
          <cell r="AL677">
            <v>0</v>
          </cell>
        </row>
        <row r="679">
          <cell r="AL679">
            <v>0</v>
          </cell>
        </row>
        <row r="680">
          <cell r="AL680">
            <v>0</v>
          </cell>
        </row>
        <row r="682">
          <cell r="AL682">
            <v>0</v>
          </cell>
        </row>
        <row r="683">
          <cell r="AL683">
            <v>0</v>
          </cell>
        </row>
        <row r="685">
          <cell r="AL685">
            <v>0</v>
          </cell>
        </row>
        <row r="686">
          <cell r="AL686">
            <v>0</v>
          </cell>
        </row>
        <row r="688">
          <cell r="AL688">
            <v>0</v>
          </cell>
        </row>
        <row r="689">
          <cell r="AL689">
            <v>0</v>
          </cell>
        </row>
        <row r="691">
          <cell r="AL691">
            <v>0</v>
          </cell>
        </row>
        <row r="692">
          <cell r="AL692">
            <v>0</v>
          </cell>
        </row>
        <row r="694">
          <cell r="AL694">
            <v>0</v>
          </cell>
        </row>
        <row r="695">
          <cell r="AL695">
            <v>0</v>
          </cell>
        </row>
        <row r="697">
          <cell r="AL697">
            <v>0</v>
          </cell>
        </row>
        <row r="698">
          <cell r="AL698">
            <v>0</v>
          </cell>
        </row>
        <row r="700">
          <cell r="AL700">
            <v>0</v>
          </cell>
        </row>
        <row r="701">
          <cell r="AL701">
            <v>0</v>
          </cell>
        </row>
        <row r="703">
          <cell r="AL703">
            <v>0</v>
          </cell>
        </row>
        <row r="704">
          <cell r="AL704">
            <v>0</v>
          </cell>
        </row>
        <row r="706">
          <cell r="AL706">
            <v>0</v>
          </cell>
        </row>
        <row r="707">
          <cell r="AL707">
            <v>0</v>
          </cell>
        </row>
        <row r="709">
          <cell r="AL709">
            <v>0</v>
          </cell>
        </row>
        <row r="710">
          <cell r="AL710">
            <v>0</v>
          </cell>
        </row>
        <row r="712">
          <cell r="AL712">
            <v>0</v>
          </cell>
        </row>
        <row r="713">
          <cell r="AL713">
            <v>0</v>
          </cell>
        </row>
        <row r="715">
          <cell r="AL715">
            <v>0</v>
          </cell>
        </row>
        <row r="716">
          <cell r="AL716">
            <v>0</v>
          </cell>
        </row>
        <row r="718">
          <cell r="AL718">
            <v>0</v>
          </cell>
        </row>
        <row r="719">
          <cell r="AL719">
            <v>0</v>
          </cell>
        </row>
        <row r="721">
          <cell r="AL721">
            <v>0</v>
          </cell>
        </row>
        <row r="722">
          <cell r="AL722">
            <v>0</v>
          </cell>
        </row>
        <row r="724">
          <cell r="AL724">
            <v>0</v>
          </cell>
        </row>
        <row r="725">
          <cell r="AL725">
            <v>0</v>
          </cell>
        </row>
        <row r="727">
          <cell r="AL727">
            <v>0</v>
          </cell>
        </row>
        <row r="728">
          <cell r="AL728">
            <v>0</v>
          </cell>
        </row>
        <row r="730">
          <cell r="AL730">
            <v>0</v>
          </cell>
        </row>
        <row r="731">
          <cell r="AL731">
            <v>0</v>
          </cell>
        </row>
        <row r="733">
          <cell r="AL733">
            <v>0</v>
          </cell>
        </row>
        <row r="734">
          <cell r="AL734">
            <v>0</v>
          </cell>
        </row>
        <row r="736">
          <cell r="AL736">
            <v>0</v>
          </cell>
        </row>
        <row r="737">
          <cell r="AL737">
            <v>0</v>
          </cell>
        </row>
        <row r="739">
          <cell r="AL739">
            <v>0</v>
          </cell>
        </row>
        <row r="740">
          <cell r="AL740">
            <v>0</v>
          </cell>
        </row>
        <row r="742">
          <cell r="AL742">
            <v>0</v>
          </cell>
        </row>
        <row r="743">
          <cell r="AL743">
            <v>0</v>
          </cell>
        </row>
        <row r="745">
          <cell r="AL745">
            <v>0</v>
          </cell>
        </row>
        <row r="746">
          <cell r="AL746">
            <v>0</v>
          </cell>
        </row>
        <row r="748">
          <cell r="AL748">
            <v>0</v>
          </cell>
        </row>
        <row r="749">
          <cell r="AL749">
            <v>0</v>
          </cell>
        </row>
        <row r="751">
          <cell r="AL751">
            <v>0</v>
          </cell>
        </row>
        <row r="752">
          <cell r="AL752">
            <v>0</v>
          </cell>
        </row>
        <row r="754">
          <cell r="AL754">
            <v>0</v>
          </cell>
        </row>
        <row r="755">
          <cell r="AL755">
            <v>0</v>
          </cell>
        </row>
        <row r="757">
          <cell r="AL757">
            <v>0</v>
          </cell>
        </row>
        <row r="758">
          <cell r="AL758">
            <v>0</v>
          </cell>
        </row>
        <row r="760">
          <cell r="AL760">
            <v>0</v>
          </cell>
        </row>
        <row r="761">
          <cell r="AL761">
            <v>0</v>
          </cell>
        </row>
        <row r="763">
          <cell r="AL763">
            <v>0</v>
          </cell>
        </row>
        <row r="764">
          <cell r="AL764">
            <v>0</v>
          </cell>
        </row>
        <row r="766">
          <cell r="AL766">
            <v>0</v>
          </cell>
        </row>
        <row r="767">
          <cell r="AL767">
            <v>0</v>
          </cell>
        </row>
        <row r="769">
          <cell r="AL769">
            <v>0</v>
          </cell>
        </row>
        <row r="770">
          <cell r="AL770">
            <v>0</v>
          </cell>
        </row>
        <row r="772">
          <cell r="AL772">
            <v>0</v>
          </cell>
        </row>
        <row r="773">
          <cell r="AL773">
            <v>0</v>
          </cell>
        </row>
        <row r="775">
          <cell r="AL775">
            <v>0</v>
          </cell>
        </row>
        <row r="776">
          <cell r="AL776">
            <v>0</v>
          </cell>
        </row>
        <row r="778">
          <cell r="AL778">
            <v>0</v>
          </cell>
        </row>
        <row r="779">
          <cell r="AL779">
            <v>0</v>
          </cell>
        </row>
        <row r="781">
          <cell r="AL781">
            <v>0</v>
          </cell>
        </row>
        <row r="782">
          <cell r="AL782">
            <v>0</v>
          </cell>
        </row>
        <row r="783">
          <cell r="AL783">
            <v>0</v>
          </cell>
        </row>
        <row r="784">
          <cell r="AL784">
            <v>0</v>
          </cell>
        </row>
        <row r="785">
          <cell r="AL785">
            <v>0</v>
          </cell>
        </row>
        <row r="787">
          <cell r="AL787">
            <v>0</v>
          </cell>
        </row>
        <row r="788">
          <cell r="AL788">
            <v>0</v>
          </cell>
        </row>
        <row r="790">
          <cell r="AL790">
            <v>0</v>
          </cell>
        </row>
        <row r="791">
          <cell r="AL791">
            <v>0</v>
          </cell>
        </row>
        <row r="793">
          <cell r="AL793">
            <v>0</v>
          </cell>
        </row>
        <row r="794">
          <cell r="AL794">
            <v>0</v>
          </cell>
        </row>
        <row r="796">
          <cell r="AL796">
            <v>0</v>
          </cell>
        </row>
        <row r="797">
          <cell r="AL797">
            <v>0</v>
          </cell>
        </row>
        <row r="799">
          <cell r="AL799">
            <v>0</v>
          </cell>
        </row>
        <row r="800">
          <cell r="AL800">
            <v>0</v>
          </cell>
        </row>
        <row r="802">
          <cell r="AL802">
            <v>0</v>
          </cell>
        </row>
        <row r="803">
          <cell r="AL803">
            <v>0</v>
          </cell>
        </row>
        <row r="805">
          <cell r="AL805">
            <v>0</v>
          </cell>
        </row>
        <row r="806">
          <cell r="AL806">
            <v>0</v>
          </cell>
        </row>
        <row r="808">
          <cell r="AL808">
            <v>0</v>
          </cell>
        </row>
        <row r="809">
          <cell r="AL809">
            <v>0</v>
          </cell>
        </row>
        <row r="811">
          <cell r="AL811">
            <v>0</v>
          </cell>
        </row>
        <row r="812">
          <cell r="AL812">
            <v>0</v>
          </cell>
        </row>
        <row r="814">
          <cell r="AL814">
            <v>0</v>
          </cell>
        </row>
        <row r="815">
          <cell r="AL815">
            <v>0</v>
          </cell>
        </row>
        <row r="817">
          <cell r="AL817">
            <v>0</v>
          </cell>
        </row>
        <row r="818">
          <cell r="AL818">
            <v>0</v>
          </cell>
        </row>
        <row r="820">
          <cell r="AL820">
            <v>0</v>
          </cell>
        </row>
        <row r="821">
          <cell r="AL821">
            <v>0</v>
          </cell>
        </row>
        <row r="823">
          <cell r="AL823">
            <v>0</v>
          </cell>
        </row>
        <row r="824">
          <cell r="AL824">
            <v>0</v>
          </cell>
        </row>
        <row r="826">
          <cell r="AL826">
            <v>0</v>
          </cell>
        </row>
        <row r="827">
          <cell r="AL827">
            <v>0</v>
          </cell>
        </row>
        <row r="829">
          <cell r="AL829">
            <v>0</v>
          </cell>
        </row>
        <row r="830">
          <cell r="AL830">
            <v>0</v>
          </cell>
        </row>
        <row r="832">
          <cell r="AL832">
            <v>0</v>
          </cell>
        </row>
        <row r="833">
          <cell r="AL833">
            <v>0</v>
          </cell>
        </row>
        <row r="835">
          <cell r="AL835">
            <v>0</v>
          </cell>
        </row>
        <row r="836">
          <cell r="AL836">
            <v>0</v>
          </cell>
        </row>
        <row r="838">
          <cell r="AL838">
            <v>0</v>
          </cell>
        </row>
        <row r="839">
          <cell r="AL839">
            <v>0</v>
          </cell>
        </row>
        <row r="841">
          <cell r="AL841">
            <v>0</v>
          </cell>
        </row>
        <row r="842">
          <cell r="AL842">
            <v>0</v>
          </cell>
        </row>
        <row r="844">
          <cell r="AL844">
            <v>0</v>
          </cell>
        </row>
        <row r="845">
          <cell r="AL845">
            <v>0</v>
          </cell>
        </row>
        <row r="847">
          <cell r="AL847">
            <v>0</v>
          </cell>
        </row>
        <row r="848">
          <cell r="AL848">
            <v>0</v>
          </cell>
        </row>
        <row r="850">
          <cell r="AL850">
            <v>0</v>
          </cell>
        </row>
        <row r="851">
          <cell r="AL851">
            <v>0</v>
          </cell>
        </row>
        <row r="853">
          <cell r="AL853">
            <v>0</v>
          </cell>
        </row>
        <row r="854">
          <cell r="AL854">
            <v>0</v>
          </cell>
        </row>
        <row r="856">
          <cell r="AL856">
            <v>0</v>
          </cell>
        </row>
        <row r="857">
          <cell r="AL857">
            <v>0</v>
          </cell>
        </row>
        <row r="859">
          <cell r="AL859">
            <v>0</v>
          </cell>
        </row>
        <row r="860">
          <cell r="AL860">
            <v>0</v>
          </cell>
        </row>
        <row r="862">
          <cell r="AL862">
            <v>0</v>
          </cell>
        </row>
        <row r="863">
          <cell r="AL863">
            <v>0</v>
          </cell>
        </row>
        <row r="865">
          <cell r="AL865">
            <v>0</v>
          </cell>
        </row>
        <row r="866">
          <cell r="AL866">
            <v>0</v>
          </cell>
        </row>
        <row r="868">
          <cell r="AL868">
            <v>0</v>
          </cell>
        </row>
        <row r="869">
          <cell r="AL869">
            <v>0</v>
          </cell>
        </row>
        <row r="871">
          <cell r="AL871">
            <v>0</v>
          </cell>
        </row>
        <row r="872">
          <cell r="AL872">
            <v>0</v>
          </cell>
        </row>
        <row r="874">
          <cell r="AL874">
            <v>0</v>
          </cell>
        </row>
        <row r="875">
          <cell r="AL875">
            <v>0</v>
          </cell>
        </row>
        <row r="877">
          <cell r="AL877">
            <v>0</v>
          </cell>
        </row>
        <row r="878">
          <cell r="AL878">
            <v>0</v>
          </cell>
        </row>
        <row r="880">
          <cell r="AL880">
            <v>0</v>
          </cell>
        </row>
        <row r="881">
          <cell r="AL881">
            <v>0</v>
          </cell>
        </row>
        <row r="883">
          <cell r="AL883">
            <v>0</v>
          </cell>
        </row>
        <row r="884">
          <cell r="AL884">
            <v>0</v>
          </cell>
        </row>
        <row r="886">
          <cell r="AL886">
            <v>0</v>
          </cell>
        </row>
        <row r="887">
          <cell r="AL887">
            <v>0</v>
          </cell>
        </row>
        <row r="889">
          <cell r="AL889">
            <v>0</v>
          </cell>
        </row>
        <row r="890">
          <cell r="AL890">
            <v>0</v>
          </cell>
        </row>
        <row r="892">
          <cell r="AL892">
            <v>0</v>
          </cell>
        </row>
        <row r="893">
          <cell r="AL893">
            <v>0</v>
          </cell>
        </row>
        <row r="895">
          <cell r="AL895">
            <v>0</v>
          </cell>
        </row>
        <row r="896">
          <cell r="AL896">
            <v>0</v>
          </cell>
        </row>
        <row r="898">
          <cell r="AL898">
            <v>0</v>
          </cell>
        </row>
        <row r="899">
          <cell r="AL899">
            <v>0</v>
          </cell>
        </row>
        <row r="901">
          <cell r="AL901">
            <v>0</v>
          </cell>
        </row>
        <row r="902">
          <cell r="AL902">
            <v>0</v>
          </cell>
        </row>
        <row r="904">
          <cell r="AL904">
            <v>0</v>
          </cell>
        </row>
        <row r="905">
          <cell r="AL905">
            <v>0</v>
          </cell>
        </row>
        <row r="907">
          <cell r="AL907">
            <v>0</v>
          </cell>
        </row>
        <row r="908">
          <cell r="AL908">
            <v>0</v>
          </cell>
        </row>
        <row r="910">
          <cell r="AL910">
            <v>0</v>
          </cell>
        </row>
        <row r="911">
          <cell r="AL911">
            <v>0</v>
          </cell>
        </row>
        <row r="913">
          <cell r="AL913">
            <v>0</v>
          </cell>
        </row>
        <row r="914">
          <cell r="AL914">
            <v>0</v>
          </cell>
        </row>
        <row r="916">
          <cell r="AL916">
            <v>0</v>
          </cell>
        </row>
        <row r="917">
          <cell r="AL917">
            <v>0</v>
          </cell>
        </row>
        <row r="919">
          <cell r="AL919">
            <v>0</v>
          </cell>
        </row>
        <row r="920">
          <cell r="AL920">
            <v>0</v>
          </cell>
        </row>
        <row r="922">
          <cell r="AL922">
            <v>0</v>
          </cell>
        </row>
        <row r="923">
          <cell r="AL923">
            <v>0</v>
          </cell>
        </row>
        <row r="925">
          <cell r="AL925">
            <v>0</v>
          </cell>
        </row>
        <row r="926">
          <cell r="AL926">
            <v>0</v>
          </cell>
        </row>
        <row r="928">
          <cell r="AL928">
            <v>0</v>
          </cell>
        </row>
        <row r="929">
          <cell r="AL929">
            <v>0</v>
          </cell>
        </row>
        <row r="931">
          <cell r="AL931">
            <v>0</v>
          </cell>
        </row>
        <row r="932">
          <cell r="AL932">
            <v>0</v>
          </cell>
        </row>
        <row r="934">
          <cell r="AL934">
            <v>0</v>
          </cell>
        </row>
        <row r="935">
          <cell r="AL935">
            <v>0</v>
          </cell>
        </row>
        <row r="937">
          <cell r="AL937">
            <v>0</v>
          </cell>
        </row>
        <row r="938">
          <cell r="AL938">
            <v>0</v>
          </cell>
        </row>
        <row r="940">
          <cell r="AL940">
            <v>0</v>
          </cell>
        </row>
        <row r="941">
          <cell r="AL941">
            <v>0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21"/>
  <sheetViews>
    <sheetView tabSelected="1" zoomScaleNormal="100" workbookViewId="0">
      <selection activeCell="F23" sqref="F23"/>
    </sheetView>
  </sheetViews>
  <sheetFormatPr defaultColWidth="9" defaultRowHeight="18" customHeight="1"/>
  <cols>
    <col min="1" max="1" width="5.625" style="1" customWidth="1"/>
    <col min="2" max="2" width="19.75" style="3" customWidth="1"/>
    <col min="3" max="3" width="10.875" style="1" customWidth="1"/>
    <col min="4" max="4" width="11.5" style="1" customWidth="1"/>
    <col min="5" max="5" width="20.5" style="3" customWidth="1"/>
    <col min="6" max="6" width="21.5" style="1" customWidth="1"/>
    <col min="7" max="7" width="4.5" style="1" customWidth="1"/>
    <col min="8" max="8" width="12.375" style="1" customWidth="1"/>
    <col min="9" max="9" width="4.5" style="1" customWidth="1"/>
    <col min="10" max="10" width="12.125" style="1" customWidth="1"/>
    <col min="11" max="15" width="4.5" style="1" customWidth="1"/>
    <col min="16" max="16" width="9.25" style="1" customWidth="1"/>
    <col min="17" max="17" width="3.75" style="1" customWidth="1"/>
    <col min="18" max="41" width="3.25" style="1" customWidth="1"/>
    <col min="42" max="44" width="2.125" style="1" customWidth="1"/>
    <col min="45" max="16384" width="9" style="1"/>
  </cols>
  <sheetData>
    <row r="1" spans="2:15" ht="16.5" customHeight="1">
      <c r="B1" s="106" t="s">
        <v>12</v>
      </c>
      <c r="C1" s="106"/>
      <c r="D1" s="106"/>
    </row>
    <row r="2" spans="2:15" ht="29.25" customHeight="1" thickBot="1">
      <c r="B2" s="107"/>
      <c r="C2" s="107"/>
      <c r="D2" s="107"/>
      <c r="F2" s="1" t="s">
        <v>13</v>
      </c>
    </row>
    <row r="3" spans="2:15" ht="23.25" customHeight="1">
      <c r="B3" s="108" t="s">
        <v>0</v>
      </c>
      <c r="C3" s="109"/>
      <c r="D3" s="109"/>
      <c r="E3" s="109" t="s">
        <v>1</v>
      </c>
      <c r="F3" s="110"/>
    </row>
    <row r="4" spans="2:15" ht="23.25" customHeight="1">
      <c r="B4" s="16" t="s">
        <v>2</v>
      </c>
      <c r="C4" s="15" t="s">
        <v>41</v>
      </c>
      <c r="D4" s="7"/>
      <c r="E4" s="19" t="s">
        <v>3</v>
      </c>
      <c r="F4" s="23" t="s">
        <v>42</v>
      </c>
    </row>
    <row r="5" spans="2:15" ht="23.25" customHeight="1">
      <c r="B5" s="17" t="s">
        <v>37</v>
      </c>
      <c r="C5" s="15" t="s">
        <v>41</v>
      </c>
      <c r="D5" s="14"/>
      <c r="E5" s="20" t="s">
        <v>4</v>
      </c>
      <c r="F5" s="23" t="s">
        <v>42</v>
      </c>
    </row>
    <row r="6" spans="2:15" ht="23.25" customHeight="1">
      <c r="B6" s="17" t="s">
        <v>38</v>
      </c>
      <c r="C6" s="15" t="s">
        <v>41</v>
      </c>
      <c r="D6" s="14"/>
      <c r="E6" s="20" t="s">
        <v>5</v>
      </c>
      <c r="F6" s="23" t="s">
        <v>42</v>
      </c>
    </row>
    <row r="7" spans="2:15" ht="23.25" customHeight="1">
      <c r="B7" s="16" t="s">
        <v>36</v>
      </c>
      <c r="C7" s="15" t="s">
        <v>41</v>
      </c>
      <c r="D7" s="7"/>
      <c r="E7" s="20" t="s">
        <v>6</v>
      </c>
      <c r="F7" s="23" t="s">
        <v>42</v>
      </c>
    </row>
    <row r="8" spans="2:15" ht="23.25" customHeight="1">
      <c r="B8" s="16" t="s">
        <v>40</v>
      </c>
      <c r="C8" s="15" t="s">
        <v>41</v>
      </c>
      <c r="D8" s="7"/>
      <c r="E8" s="20" t="s">
        <v>10</v>
      </c>
      <c r="F8" s="23" t="s">
        <v>43</v>
      </c>
      <c r="H8" s="6"/>
    </row>
    <row r="9" spans="2:15" ht="23.25" customHeight="1">
      <c r="B9" s="16" t="s">
        <v>39</v>
      </c>
      <c r="C9" s="15" t="s">
        <v>41</v>
      </c>
      <c r="D9" s="14"/>
      <c r="E9" s="21" t="s">
        <v>11</v>
      </c>
      <c r="F9" s="23" t="s">
        <v>44</v>
      </c>
    </row>
    <row r="10" spans="2:15" ht="23.25" customHeight="1">
      <c r="B10" s="16"/>
      <c r="C10" s="9"/>
      <c r="D10" s="7"/>
      <c r="E10" s="21"/>
      <c r="F10" s="8"/>
    </row>
    <row r="11" spans="2:15" ht="23.25" customHeight="1">
      <c r="B11" s="16"/>
      <c r="C11" s="9"/>
      <c r="D11" s="7"/>
      <c r="E11" s="21"/>
      <c r="F11" s="10"/>
      <c r="G11" s="2"/>
      <c r="H11" s="2"/>
    </row>
    <row r="12" spans="2:15" ht="23.25" customHeight="1">
      <c r="B12" s="16"/>
      <c r="C12" s="112"/>
      <c r="D12" s="112"/>
      <c r="E12" s="20" t="s">
        <v>7</v>
      </c>
      <c r="F12" s="12" t="s">
        <v>45</v>
      </c>
      <c r="G12" s="3"/>
      <c r="H12" s="3"/>
    </row>
    <row r="13" spans="2:15" ht="27" customHeight="1" thickBot="1">
      <c r="B13" s="18" t="s">
        <v>8</v>
      </c>
      <c r="C13" s="113" t="s">
        <v>46</v>
      </c>
      <c r="D13" s="113"/>
      <c r="E13" s="22" t="s">
        <v>9</v>
      </c>
      <c r="F13" s="13" t="s">
        <v>47</v>
      </c>
      <c r="G13" s="3"/>
      <c r="H13" s="3"/>
    </row>
    <row r="14" spans="2:15" ht="39" customHeight="1">
      <c r="C14" s="3"/>
      <c r="D14" s="3"/>
      <c r="E14" s="114" t="s">
        <v>48</v>
      </c>
      <c r="F14" s="114"/>
      <c r="G14" s="3"/>
      <c r="H14" s="4"/>
    </row>
    <row r="15" spans="2:15" ht="16.5">
      <c r="C15" s="5"/>
      <c r="D15" s="5"/>
      <c r="E15" s="11"/>
      <c r="F15" s="111"/>
      <c r="G15" s="5"/>
      <c r="I15" s="4"/>
      <c r="J15" s="4"/>
      <c r="K15" s="4"/>
      <c r="L15" s="4"/>
      <c r="M15" s="4"/>
      <c r="N15" s="4"/>
      <c r="O15" s="4"/>
    </row>
    <row r="16" spans="2:15" ht="16.5">
      <c r="C16" s="5"/>
      <c r="D16" s="5"/>
      <c r="E16" s="11"/>
      <c r="F16" s="111"/>
      <c r="G16" s="5"/>
      <c r="H16" s="4"/>
      <c r="I16" s="4"/>
      <c r="J16" s="4"/>
      <c r="K16" s="4"/>
      <c r="L16" s="4"/>
      <c r="M16" s="4"/>
      <c r="N16" s="4"/>
      <c r="O16" s="4"/>
    </row>
    <row r="17" spans="3:15" ht="17.25">
      <c r="C17" s="5"/>
      <c r="D17" s="5"/>
      <c r="E17" s="115"/>
      <c r="F17" s="115"/>
      <c r="G17" s="5"/>
      <c r="H17" s="5"/>
      <c r="I17" s="4"/>
      <c r="J17" s="4"/>
      <c r="K17" s="4"/>
      <c r="L17" s="4"/>
      <c r="M17" s="4"/>
      <c r="N17" s="4"/>
      <c r="O17" s="4"/>
    </row>
    <row r="18" spans="3:15" ht="17.25">
      <c r="C18" s="116"/>
      <c r="D18" s="116"/>
      <c r="E18" s="116"/>
      <c r="F18" s="116"/>
    </row>
    <row r="19" spans="3:15" ht="17.25">
      <c r="C19" s="116"/>
      <c r="D19" s="116"/>
      <c r="E19" s="116"/>
      <c r="F19" s="116"/>
    </row>
    <row r="20" spans="3:15" ht="17.25">
      <c r="C20" s="116"/>
      <c r="D20" s="116"/>
      <c r="E20" s="116"/>
      <c r="F20" s="116"/>
    </row>
    <row r="21" spans="3:15" ht="17.25">
      <c r="C21" s="116"/>
      <c r="D21" s="116"/>
      <c r="E21" s="116"/>
      <c r="F21" s="116"/>
    </row>
  </sheetData>
  <mergeCells count="12">
    <mergeCell ref="E17:F17"/>
    <mergeCell ref="C18:F18"/>
    <mergeCell ref="C19:F19"/>
    <mergeCell ref="C20:F20"/>
    <mergeCell ref="C21:F21"/>
    <mergeCell ref="B1:D2"/>
    <mergeCell ref="B3:D3"/>
    <mergeCell ref="E3:F3"/>
    <mergeCell ref="F15:F16"/>
    <mergeCell ref="C12:D12"/>
    <mergeCell ref="C13:D13"/>
    <mergeCell ref="E14:F1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R193"/>
  <sheetViews>
    <sheetView workbookViewId="0">
      <selection activeCell="N13" sqref="N13"/>
    </sheetView>
  </sheetViews>
  <sheetFormatPr defaultRowHeight="16.5"/>
  <cols>
    <col min="1" max="1" width="9" style="24"/>
    <col min="2" max="2" width="5.375" style="25" customWidth="1"/>
    <col min="3" max="3" width="11.625" style="25" bestFit="1" customWidth="1"/>
    <col min="4" max="4" width="9.875" style="105" customWidth="1"/>
    <col min="5" max="5" width="10" style="25" customWidth="1"/>
    <col min="6" max="6" width="12.875" style="105" bestFit="1" customWidth="1"/>
    <col min="7" max="7" width="10" style="25" customWidth="1"/>
    <col min="8" max="8" width="11.875" style="105" bestFit="1" customWidth="1"/>
    <col min="9" max="9" width="10" style="25" customWidth="1"/>
    <col min="10" max="10" width="11.875" style="105" bestFit="1" customWidth="1"/>
    <col min="11" max="15" width="10" style="105" customWidth="1"/>
    <col min="16" max="16" width="11.5" style="105" bestFit="1" customWidth="1"/>
    <col min="17" max="17" width="13.375" style="105" customWidth="1"/>
    <col min="18" max="18" width="11.5" style="103" customWidth="1"/>
    <col min="19" max="19" width="10.375" style="103" customWidth="1"/>
    <col min="20" max="20" width="11.75" style="103" customWidth="1"/>
    <col min="21" max="21" width="15.875" style="103" bestFit="1" customWidth="1"/>
    <col min="22" max="229" width="9" style="24"/>
    <col min="230" max="230" width="5.25" style="24" bestFit="1" customWidth="1"/>
    <col min="231" max="231" width="8" style="24" bestFit="1" customWidth="1"/>
    <col min="232" max="232" width="6.625" style="24" bestFit="1" customWidth="1"/>
    <col min="233" max="233" width="7.25" style="24" customWidth="1"/>
    <col min="234" max="235" width="9.625" style="24" bestFit="1" customWidth="1"/>
    <col min="236" max="236" width="6.25" style="24" bestFit="1" customWidth="1"/>
    <col min="237" max="237" width="9.625" style="24" bestFit="1" customWidth="1"/>
    <col min="238" max="241" width="9" style="24" customWidth="1"/>
    <col min="242" max="242" width="6.625" style="24" bestFit="1" customWidth="1"/>
    <col min="243" max="243" width="9.625" style="24" bestFit="1" customWidth="1"/>
    <col min="244" max="244" width="6.625" style="24" bestFit="1" customWidth="1"/>
    <col min="245" max="245" width="9.625" style="24" bestFit="1" customWidth="1"/>
    <col min="246" max="246" width="7.5" style="24" bestFit="1" customWidth="1"/>
    <col min="247" max="247" width="9.625" style="24" bestFit="1" customWidth="1"/>
    <col min="248" max="248" width="5.75" style="24" bestFit="1" customWidth="1"/>
    <col min="249" max="249" width="8.375" style="24" bestFit="1" customWidth="1"/>
    <col min="250" max="250" width="4.75" style="24" bestFit="1" customWidth="1"/>
    <col min="251" max="251" width="9.5" style="24" customWidth="1"/>
    <col min="252" max="254" width="9" style="24" customWidth="1"/>
    <col min="255" max="255" width="6.75" style="24" bestFit="1" customWidth="1"/>
    <col min="256" max="256" width="14.25" style="24" customWidth="1"/>
    <col min="257" max="260" width="9.625" style="24" bestFit="1" customWidth="1"/>
    <col min="261" max="261" width="8.375" style="24" bestFit="1" customWidth="1"/>
    <col min="262" max="262" width="11.875" style="24" bestFit="1" customWidth="1"/>
    <col min="263" max="264" width="9.625" style="24" bestFit="1" customWidth="1"/>
    <col min="265" max="265" width="16.25" style="24" bestFit="1" customWidth="1"/>
    <col min="266" max="266" width="15.375" style="24" bestFit="1" customWidth="1"/>
    <col min="267" max="267" width="17.125" style="24" customWidth="1"/>
    <col min="268" max="268" width="8.375" style="24" bestFit="1" customWidth="1"/>
    <col min="269" max="269" width="9.25" style="24" bestFit="1" customWidth="1"/>
    <col min="270" max="270" width="8" style="24" bestFit="1" customWidth="1"/>
    <col min="271" max="485" width="9" style="24"/>
    <col min="486" max="486" width="5.25" style="24" bestFit="1" customWidth="1"/>
    <col min="487" max="487" width="8" style="24" bestFit="1" customWidth="1"/>
    <col min="488" max="488" width="6.625" style="24" bestFit="1" customWidth="1"/>
    <col min="489" max="489" width="7.25" style="24" customWidth="1"/>
    <col min="490" max="491" width="9.625" style="24" bestFit="1" customWidth="1"/>
    <col min="492" max="492" width="6.25" style="24" bestFit="1" customWidth="1"/>
    <col min="493" max="493" width="9.625" style="24" bestFit="1" customWidth="1"/>
    <col min="494" max="497" width="9" style="24" customWidth="1"/>
    <col min="498" max="498" width="6.625" style="24" bestFit="1" customWidth="1"/>
    <col min="499" max="499" width="9.625" style="24" bestFit="1" customWidth="1"/>
    <col min="500" max="500" width="6.625" style="24" bestFit="1" customWidth="1"/>
    <col min="501" max="501" width="9.625" style="24" bestFit="1" customWidth="1"/>
    <col min="502" max="502" width="7.5" style="24" bestFit="1" customWidth="1"/>
    <col min="503" max="503" width="9.625" style="24" bestFit="1" customWidth="1"/>
    <col min="504" max="504" width="5.75" style="24" bestFit="1" customWidth="1"/>
    <col min="505" max="505" width="8.375" style="24" bestFit="1" customWidth="1"/>
    <col min="506" max="506" width="4.75" style="24" bestFit="1" customWidth="1"/>
    <col min="507" max="507" width="9.5" style="24" customWidth="1"/>
    <col min="508" max="510" width="9" style="24" customWidth="1"/>
    <col min="511" max="511" width="6.75" style="24" bestFit="1" customWidth="1"/>
    <col min="512" max="512" width="14.25" style="24" customWidth="1"/>
    <col min="513" max="516" width="9.625" style="24" bestFit="1" customWidth="1"/>
    <col min="517" max="517" width="8.375" style="24" bestFit="1" customWidth="1"/>
    <col min="518" max="518" width="11.875" style="24" bestFit="1" customWidth="1"/>
    <col min="519" max="520" width="9.625" style="24" bestFit="1" customWidth="1"/>
    <col min="521" max="521" width="16.25" style="24" bestFit="1" customWidth="1"/>
    <col min="522" max="522" width="15.375" style="24" bestFit="1" customWidth="1"/>
    <col min="523" max="523" width="17.125" style="24" customWidth="1"/>
    <col min="524" max="524" width="8.375" style="24" bestFit="1" customWidth="1"/>
    <col min="525" max="525" width="9.25" style="24" bestFit="1" customWidth="1"/>
    <col min="526" max="526" width="8" style="24" bestFit="1" customWidth="1"/>
    <col min="527" max="741" width="9" style="24"/>
    <col min="742" max="742" width="5.25" style="24" bestFit="1" customWidth="1"/>
    <col min="743" max="743" width="8" style="24" bestFit="1" customWidth="1"/>
    <col min="744" max="744" width="6.625" style="24" bestFit="1" customWidth="1"/>
    <col min="745" max="745" width="7.25" style="24" customWidth="1"/>
    <col min="746" max="747" width="9.625" style="24" bestFit="1" customWidth="1"/>
    <col min="748" max="748" width="6.25" style="24" bestFit="1" customWidth="1"/>
    <col min="749" max="749" width="9.625" style="24" bestFit="1" customWidth="1"/>
    <col min="750" max="753" width="9" style="24" customWidth="1"/>
    <col min="754" max="754" width="6.625" style="24" bestFit="1" customWidth="1"/>
    <col min="755" max="755" width="9.625" style="24" bestFit="1" customWidth="1"/>
    <col min="756" max="756" width="6.625" style="24" bestFit="1" customWidth="1"/>
    <col min="757" max="757" width="9.625" style="24" bestFit="1" customWidth="1"/>
    <col min="758" max="758" width="7.5" style="24" bestFit="1" customWidth="1"/>
    <col min="759" max="759" width="9.625" style="24" bestFit="1" customWidth="1"/>
    <col min="760" max="760" width="5.75" style="24" bestFit="1" customWidth="1"/>
    <col min="761" max="761" width="8.375" style="24" bestFit="1" customWidth="1"/>
    <col min="762" max="762" width="4.75" style="24" bestFit="1" customWidth="1"/>
    <col min="763" max="763" width="9.5" style="24" customWidth="1"/>
    <col min="764" max="766" width="9" style="24" customWidth="1"/>
    <col min="767" max="767" width="6.75" style="24" bestFit="1" customWidth="1"/>
    <col min="768" max="768" width="14.25" style="24" customWidth="1"/>
    <col min="769" max="772" width="9.625" style="24" bestFit="1" customWidth="1"/>
    <col min="773" max="773" width="8.375" style="24" bestFit="1" customWidth="1"/>
    <col min="774" max="774" width="11.875" style="24" bestFit="1" customWidth="1"/>
    <col min="775" max="776" width="9.625" style="24" bestFit="1" customWidth="1"/>
    <col min="777" max="777" width="16.25" style="24" bestFit="1" customWidth="1"/>
    <col min="778" max="778" width="15.375" style="24" bestFit="1" customWidth="1"/>
    <col min="779" max="779" width="17.125" style="24" customWidth="1"/>
    <col min="780" max="780" width="8.375" style="24" bestFit="1" customWidth="1"/>
    <col min="781" max="781" width="9.25" style="24" bestFit="1" customWidth="1"/>
    <col min="782" max="782" width="8" style="24" bestFit="1" customWidth="1"/>
    <col min="783" max="997" width="9" style="24"/>
    <col min="998" max="998" width="5.25" style="24" bestFit="1" customWidth="1"/>
    <col min="999" max="999" width="8" style="24" bestFit="1" customWidth="1"/>
    <col min="1000" max="1000" width="6.625" style="24" bestFit="1" customWidth="1"/>
    <col min="1001" max="1001" width="7.25" style="24" customWidth="1"/>
    <col min="1002" max="1003" width="9.625" style="24" bestFit="1" customWidth="1"/>
    <col min="1004" max="1004" width="6.25" style="24" bestFit="1" customWidth="1"/>
    <col min="1005" max="1005" width="9.625" style="24" bestFit="1" customWidth="1"/>
    <col min="1006" max="1009" width="9" style="24" customWidth="1"/>
    <col min="1010" max="1010" width="6.625" style="24" bestFit="1" customWidth="1"/>
    <col min="1011" max="1011" width="9.625" style="24" bestFit="1" customWidth="1"/>
    <col min="1012" max="1012" width="6.625" style="24" bestFit="1" customWidth="1"/>
    <col min="1013" max="1013" width="9.625" style="24" bestFit="1" customWidth="1"/>
    <col min="1014" max="1014" width="7.5" style="24" bestFit="1" customWidth="1"/>
    <col min="1015" max="1015" width="9.625" style="24" bestFit="1" customWidth="1"/>
    <col min="1016" max="1016" width="5.75" style="24" bestFit="1" customWidth="1"/>
    <col min="1017" max="1017" width="8.375" style="24" bestFit="1" customWidth="1"/>
    <col min="1018" max="1018" width="4.75" style="24" bestFit="1" customWidth="1"/>
    <col min="1019" max="1019" width="9.5" style="24" customWidth="1"/>
    <col min="1020" max="1022" width="9" style="24" customWidth="1"/>
    <col min="1023" max="1023" width="6.75" style="24" bestFit="1" customWidth="1"/>
    <col min="1024" max="1024" width="14.25" style="24" customWidth="1"/>
    <col min="1025" max="1028" width="9.625" style="24" bestFit="1" customWidth="1"/>
    <col min="1029" max="1029" width="8.375" style="24" bestFit="1" customWidth="1"/>
    <col min="1030" max="1030" width="11.875" style="24" bestFit="1" customWidth="1"/>
    <col min="1031" max="1032" width="9.625" style="24" bestFit="1" customWidth="1"/>
    <col min="1033" max="1033" width="16.25" style="24" bestFit="1" customWidth="1"/>
    <col min="1034" max="1034" width="15.375" style="24" bestFit="1" customWidth="1"/>
    <col min="1035" max="1035" width="17.125" style="24" customWidth="1"/>
    <col min="1036" max="1036" width="8.375" style="24" bestFit="1" customWidth="1"/>
    <col min="1037" max="1037" width="9.25" style="24" bestFit="1" customWidth="1"/>
    <col min="1038" max="1038" width="8" style="24" bestFit="1" customWidth="1"/>
    <col min="1039" max="1253" width="9" style="24"/>
    <col min="1254" max="1254" width="5.25" style="24" bestFit="1" customWidth="1"/>
    <col min="1255" max="1255" width="8" style="24" bestFit="1" customWidth="1"/>
    <col min="1256" max="1256" width="6.625" style="24" bestFit="1" customWidth="1"/>
    <col min="1257" max="1257" width="7.25" style="24" customWidth="1"/>
    <col min="1258" max="1259" width="9.625" style="24" bestFit="1" customWidth="1"/>
    <col min="1260" max="1260" width="6.25" style="24" bestFit="1" customWidth="1"/>
    <col min="1261" max="1261" width="9.625" style="24" bestFit="1" customWidth="1"/>
    <col min="1262" max="1265" width="9" style="24" customWidth="1"/>
    <col min="1266" max="1266" width="6.625" style="24" bestFit="1" customWidth="1"/>
    <col min="1267" max="1267" width="9.625" style="24" bestFit="1" customWidth="1"/>
    <col min="1268" max="1268" width="6.625" style="24" bestFit="1" customWidth="1"/>
    <col min="1269" max="1269" width="9.625" style="24" bestFit="1" customWidth="1"/>
    <col min="1270" max="1270" width="7.5" style="24" bestFit="1" customWidth="1"/>
    <col min="1271" max="1271" width="9.625" style="24" bestFit="1" customWidth="1"/>
    <col min="1272" max="1272" width="5.75" style="24" bestFit="1" customWidth="1"/>
    <col min="1273" max="1273" width="8.375" style="24" bestFit="1" customWidth="1"/>
    <col min="1274" max="1274" width="4.75" style="24" bestFit="1" customWidth="1"/>
    <col min="1275" max="1275" width="9.5" style="24" customWidth="1"/>
    <col min="1276" max="1278" width="9" style="24" customWidth="1"/>
    <col min="1279" max="1279" width="6.75" style="24" bestFit="1" customWidth="1"/>
    <col min="1280" max="1280" width="14.25" style="24" customWidth="1"/>
    <col min="1281" max="1284" width="9.625" style="24" bestFit="1" customWidth="1"/>
    <col min="1285" max="1285" width="8.375" style="24" bestFit="1" customWidth="1"/>
    <col min="1286" max="1286" width="11.875" style="24" bestFit="1" customWidth="1"/>
    <col min="1287" max="1288" width="9.625" style="24" bestFit="1" customWidth="1"/>
    <col min="1289" max="1289" width="16.25" style="24" bestFit="1" customWidth="1"/>
    <col min="1290" max="1290" width="15.375" style="24" bestFit="1" customWidth="1"/>
    <col min="1291" max="1291" width="17.125" style="24" customWidth="1"/>
    <col min="1292" max="1292" width="8.375" style="24" bestFit="1" customWidth="1"/>
    <col min="1293" max="1293" width="9.25" style="24" bestFit="1" customWidth="1"/>
    <col min="1294" max="1294" width="8" style="24" bestFit="1" customWidth="1"/>
    <col min="1295" max="1509" width="9" style="24"/>
    <col min="1510" max="1510" width="5.25" style="24" bestFit="1" customWidth="1"/>
    <col min="1511" max="1511" width="8" style="24" bestFit="1" customWidth="1"/>
    <col min="1512" max="1512" width="6.625" style="24" bestFit="1" customWidth="1"/>
    <col min="1513" max="1513" width="7.25" style="24" customWidth="1"/>
    <col min="1514" max="1515" width="9.625" style="24" bestFit="1" customWidth="1"/>
    <col min="1516" max="1516" width="6.25" style="24" bestFit="1" customWidth="1"/>
    <col min="1517" max="1517" width="9.625" style="24" bestFit="1" customWidth="1"/>
    <col min="1518" max="1521" width="9" style="24" customWidth="1"/>
    <col min="1522" max="1522" width="6.625" style="24" bestFit="1" customWidth="1"/>
    <col min="1523" max="1523" width="9.625" style="24" bestFit="1" customWidth="1"/>
    <col min="1524" max="1524" width="6.625" style="24" bestFit="1" customWidth="1"/>
    <col min="1525" max="1525" width="9.625" style="24" bestFit="1" customWidth="1"/>
    <col min="1526" max="1526" width="7.5" style="24" bestFit="1" customWidth="1"/>
    <col min="1527" max="1527" width="9.625" style="24" bestFit="1" customWidth="1"/>
    <col min="1528" max="1528" width="5.75" style="24" bestFit="1" customWidth="1"/>
    <col min="1529" max="1529" width="8.375" style="24" bestFit="1" customWidth="1"/>
    <col min="1530" max="1530" width="4.75" style="24" bestFit="1" customWidth="1"/>
    <col min="1531" max="1531" width="9.5" style="24" customWidth="1"/>
    <col min="1532" max="1534" width="9" style="24" customWidth="1"/>
    <col min="1535" max="1535" width="6.75" style="24" bestFit="1" customWidth="1"/>
    <col min="1536" max="1536" width="14.25" style="24" customWidth="1"/>
    <col min="1537" max="1540" width="9.625" style="24" bestFit="1" customWidth="1"/>
    <col min="1541" max="1541" width="8.375" style="24" bestFit="1" customWidth="1"/>
    <col min="1542" max="1542" width="11.875" style="24" bestFit="1" customWidth="1"/>
    <col min="1543" max="1544" width="9.625" style="24" bestFit="1" customWidth="1"/>
    <col min="1545" max="1545" width="16.25" style="24" bestFit="1" customWidth="1"/>
    <col min="1546" max="1546" width="15.375" style="24" bestFit="1" customWidth="1"/>
    <col min="1547" max="1547" width="17.125" style="24" customWidth="1"/>
    <col min="1548" max="1548" width="8.375" style="24" bestFit="1" customWidth="1"/>
    <col min="1549" max="1549" width="9.25" style="24" bestFit="1" customWidth="1"/>
    <col min="1550" max="1550" width="8" style="24" bestFit="1" customWidth="1"/>
    <col min="1551" max="1765" width="9" style="24"/>
    <col min="1766" max="1766" width="5.25" style="24" bestFit="1" customWidth="1"/>
    <col min="1767" max="1767" width="8" style="24" bestFit="1" customWidth="1"/>
    <col min="1768" max="1768" width="6.625" style="24" bestFit="1" customWidth="1"/>
    <col min="1769" max="1769" width="7.25" style="24" customWidth="1"/>
    <col min="1770" max="1771" width="9.625" style="24" bestFit="1" customWidth="1"/>
    <col min="1772" max="1772" width="6.25" style="24" bestFit="1" customWidth="1"/>
    <col min="1773" max="1773" width="9.625" style="24" bestFit="1" customWidth="1"/>
    <col min="1774" max="1777" width="9" style="24" customWidth="1"/>
    <col min="1778" max="1778" width="6.625" style="24" bestFit="1" customWidth="1"/>
    <col min="1779" max="1779" width="9.625" style="24" bestFit="1" customWidth="1"/>
    <col min="1780" max="1780" width="6.625" style="24" bestFit="1" customWidth="1"/>
    <col min="1781" max="1781" width="9.625" style="24" bestFit="1" customWidth="1"/>
    <col min="1782" max="1782" width="7.5" style="24" bestFit="1" customWidth="1"/>
    <col min="1783" max="1783" width="9.625" style="24" bestFit="1" customWidth="1"/>
    <col min="1784" max="1784" width="5.75" style="24" bestFit="1" customWidth="1"/>
    <col min="1785" max="1785" width="8.375" style="24" bestFit="1" customWidth="1"/>
    <col min="1786" max="1786" width="4.75" style="24" bestFit="1" customWidth="1"/>
    <col min="1787" max="1787" width="9.5" style="24" customWidth="1"/>
    <col min="1788" max="1790" width="9" style="24" customWidth="1"/>
    <col min="1791" max="1791" width="6.75" style="24" bestFit="1" customWidth="1"/>
    <col min="1792" max="1792" width="14.25" style="24" customWidth="1"/>
    <col min="1793" max="1796" width="9.625" style="24" bestFit="1" customWidth="1"/>
    <col min="1797" max="1797" width="8.375" style="24" bestFit="1" customWidth="1"/>
    <col min="1798" max="1798" width="11.875" style="24" bestFit="1" customWidth="1"/>
    <col min="1799" max="1800" width="9.625" style="24" bestFit="1" customWidth="1"/>
    <col min="1801" max="1801" width="16.25" style="24" bestFit="1" customWidth="1"/>
    <col min="1802" max="1802" width="15.375" style="24" bestFit="1" customWidth="1"/>
    <col min="1803" max="1803" width="17.125" style="24" customWidth="1"/>
    <col min="1804" max="1804" width="8.375" style="24" bestFit="1" customWidth="1"/>
    <col min="1805" max="1805" width="9.25" style="24" bestFit="1" customWidth="1"/>
    <col min="1806" max="1806" width="8" style="24" bestFit="1" customWidth="1"/>
    <col min="1807" max="2021" width="9" style="24"/>
    <col min="2022" max="2022" width="5.25" style="24" bestFit="1" customWidth="1"/>
    <col min="2023" max="2023" width="8" style="24" bestFit="1" customWidth="1"/>
    <col min="2024" max="2024" width="6.625" style="24" bestFit="1" customWidth="1"/>
    <col min="2025" max="2025" width="7.25" style="24" customWidth="1"/>
    <col min="2026" max="2027" width="9.625" style="24" bestFit="1" customWidth="1"/>
    <col min="2028" max="2028" width="6.25" style="24" bestFit="1" customWidth="1"/>
    <col min="2029" max="2029" width="9.625" style="24" bestFit="1" customWidth="1"/>
    <col min="2030" max="2033" width="9" style="24" customWidth="1"/>
    <col min="2034" max="2034" width="6.625" style="24" bestFit="1" customWidth="1"/>
    <col min="2035" max="2035" width="9.625" style="24" bestFit="1" customWidth="1"/>
    <col min="2036" max="2036" width="6.625" style="24" bestFit="1" customWidth="1"/>
    <col min="2037" max="2037" width="9.625" style="24" bestFit="1" customWidth="1"/>
    <col min="2038" max="2038" width="7.5" style="24" bestFit="1" customWidth="1"/>
    <col min="2039" max="2039" width="9.625" style="24" bestFit="1" customWidth="1"/>
    <col min="2040" max="2040" width="5.75" style="24" bestFit="1" customWidth="1"/>
    <col min="2041" max="2041" width="8.375" style="24" bestFit="1" customWidth="1"/>
    <col min="2042" max="2042" width="4.75" style="24" bestFit="1" customWidth="1"/>
    <col min="2043" max="2043" width="9.5" style="24" customWidth="1"/>
    <col min="2044" max="2046" width="9" style="24" customWidth="1"/>
    <col min="2047" max="2047" width="6.75" style="24" bestFit="1" customWidth="1"/>
    <col min="2048" max="2048" width="14.25" style="24" customWidth="1"/>
    <col min="2049" max="2052" width="9.625" style="24" bestFit="1" customWidth="1"/>
    <col min="2053" max="2053" width="8.375" style="24" bestFit="1" customWidth="1"/>
    <col min="2054" max="2054" width="11.875" style="24" bestFit="1" customWidth="1"/>
    <col min="2055" max="2056" width="9.625" style="24" bestFit="1" customWidth="1"/>
    <col min="2057" max="2057" width="16.25" style="24" bestFit="1" customWidth="1"/>
    <col min="2058" max="2058" width="15.375" style="24" bestFit="1" customWidth="1"/>
    <col min="2059" max="2059" width="17.125" style="24" customWidth="1"/>
    <col min="2060" max="2060" width="8.375" style="24" bestFit="1" customWidth="1"/>
    <col min="2061" max="2061" width="9.25" style="24" bestFit="1" customWidth="1"/>
    <col min="2062" max="2062" width="8" style="24" bestFit="1" customWidth="1"/>
    <col min="2063" max="2277" width="9" style="24"/>
    <col min="2278" max="2278" width="5.25" style="24" bestFit="1" customWidth="1"/>
    <col min="2279" max="2279" width="8" style="24" bestFit="1" customWidth="1"/>
    <col min="2280" max="2280" width="6.625" style="24" bestFit="1" customWidth="1"/>
    <col min="2281" max="2281" width="7.25" style="24" customWidth="1"/>
    <col min="2282" max="2283" width="9.625" style="24" bestFit="1" customWidth="1"/>
    <col min="2284" max="2284" width="6.25" style="24" bestFit="1" customWidth="1"/>
    <col min="2285" max="2285" width="9.625" style="24" bestFit="1" customWidth="1"/>
    <col min="2286" max="2289" width="9" style="24" customWidth="1"/>
    <col min="2290" max="2290" width="6.625" style="24" bestFit="1" customWidth="1"/>
    <col min="2291" max="2291" width="9.625" style="24" bestFit="1" customWidth="1"/>
    <col min="2292" max="2292" width="6.625" style="24" bestFit="1" customWidth="1"/>
    <col min="2293" max="2293" width="9.625" style="24" bestFit="1" customWidth="1"/>
    <col min="2294" max="2294" width="7.5" style="24" bestFit="1" customWidth="1"/>
    <col min="2295" max="2295" width="9.625" style="24" bestFit="1" customWidth="1"/>
    <col min="2296" max="2296" width="5.75" style="24" bestFit="1" customWidth="1"/>
    <col min="2297" max="2297" width="8.375" style="24" bestFit="1" customWidth="1"/>
    <col min="2298" max="2298" width="4.75" style="24" bestFit="1" customWidth="1"/>
    <col min="2299" max="2299" width="9.5" style="24" customWidth="1"/>
    <col min="2300" max="2302" width="9" style="24" customWidth="1"/>
    <col min="2303" max="2303" width="6.75" style="24" bestFit="1" customWidth="1"/>
    <col min="2304" max="2304" width="14.25" style="24" customWidth="1"/>
    <col min="2305" max="2308" width="9.625" style="24" bestFit="1" customWidth="1"/>
    <col min="2309" max="2309" width="8.375" style="24" bestFit="1" customWidth="1"/>
    <col min="2310" max="2310" width="11.875" style="24" bestFit="1" customWidth="1"/>
    <col min="2311" max="2312" width="9.625" style="24" bestFit="1" customWidth="1"/>
    <col min="2313" max="2313" width="16.25" style="24" bestFit="1" customWidth="1"/>
    <col min="2314" max="2314" width="15.375" style="24" bestFit="1" customWidth="1"/>
    <col min="2315" max="2315" width="17.125" style="24" customWidth="1"/>
    <col min="2316" max="2316" width="8.375" style="24" bestFit="1" customWidth="1"/>
    <col min="2317" max="2317" width="9.25" style="24" bestFit="1" customWidth="1"/>
    <col min="2318" max="2318" width="8" style="24" bestFit="1" customWidth="1"/>
    <col min="2319" max="2533" width="9" style="24"/>
    <col min="2534" max="2534" width="5.25" style="24" bestFit="1" customWidth="1"/>
    <col min="2535" max="2535" width="8" style="24" bestFit="1" customWidth="1"/>
    <col min="2536" max="2536" width="6.625" style="24" bestFit="1" customWidth="1"/>
    <col min="2537" max="2537" width="7.25" style="24" customWidth="1"/>
    <col min="2538" max="2539" width="9.625" style="24" bestFit="1" customWidth="1"/>
    <col min="2540" max="2540" width="6.25" style="24" bestFit="1" customWidth="1"/>
    <col min="2541" max="2541" width="9.625" style="24" bestFit="1" customWidth="1"/>
    <col min="2542" max="2545" width="9" style="24" customWidth="1"/>
    <col min="2546" max="2546" width="6.625" style="24" bestFit="1" customWidth="1"/>
    <col min="2547" max="2547" width="9.625" style="24" bestFit="1" customWidth="1"/>
    <col min="2548" max="2548" width="6.625" style="24" bestFit="1" customWidth="1"/>
    <col min="2549" max="2549" width="9.625" style="24" bestFit="1" customWidth="1"/>
    <col min="2550" max="2550" width="7.5" style="24" bestFit="1" customWidth="1"/>
    <col min="2551" max="2551" width="9.625" style="24" bestFit="1" customWidth="1"/>
    <col min="2552" max="2552" width="5.75" style="24" bestFit="1" customWidth="1"/>
    <col min="2553" max="2553" width="8.375" style="24" bestFit="1" customWidth="1"/>
    <col min="2554" max="2554" width="4.75" style="24" bestFit="1" customWidth="1"/>
    <col min="2555" max="2555" width="9.5" style="24" customWidth="1"/>
    <col min="2556" max="2558" width="9" style="24" customWidth="1"/>
    <col min="2559" max="2559" width="6.75" style="24" bestFit="1" customWidth="1"/>
    <col min="2560" max="2560" width="14.25" style="24" customWidth="1"/>
    <col min="2561" max="2564" width="9.625" style="24" bestFit="1" customWidth="1"/>
    <col min="2565" max="2565" width="8.375" style="24" bestFit="1" customWidth="1"/>
    <col min="2566" max="2566" width="11.875" style="24" bestFit="1" customWidth="1"/>
    <col min="2567" max="2568" width="9.625" style="24" bestFit="1" customWidth="1"/>
    <col min="2569" max="2569" width="16.25" style="24" bestFit="1" customWidth="1"/>
    <col min="2570" max="2570" width="15.375" style="24" bestFit="1" customWidth="1"/>
    <col min="2571" max="2571" width="17.125" style="24" customWidth="1"/>
    <col min="2572" max="2572" width="8.375" style="24" bestFit="1" customWidth="1"/>
    <col min="2573" max="2573" width="9.25" style="24" bestFit="1" customWidth="1"/>
    <col min="2574" max="2574" width="8" style="24" bestFit="1" customWidth="1"/>
    <col min="2575" max="2789" width="9" style="24"/>
    <col min="2790" max="2790" width="5.25" style="24" bestFit="1" customWidth="1"/>
    <col min="2791" max="2791" width="8" style="24" bestFit="1" customWidth="1"/>
    <col min="2792" max="2792" width="6.625" style="24" bestFit="1" customWidth="1"/>
    <col min="2793" max="2793" width="7.25" style="24" customWidth="1"/>
    <col min="2794" max="2795" width="9.625" style="24" bestFit="1" customWidth="1"/>
    <col min="2796" max="2796" width="6.25" style="24" bestFit="1" customWidth="1"/>
    <col min="2797" max="2797" width="9.625" style="24" bestFit="1" customWidth="1"/>
    <col min="2798" max="2801" width="9" style="24" customWidth="1"/>
    <col min="2802" max="2802" width="6.625" style="24" bestFit="1" customWidth="1"/>
    <col min="2803" max="2803" width="9.625" style="24" bestFit="1" customWidth="1"/>
    <col min="2804" max="2804" width="6.625" style="24" bestFit="1" customWidth="1"/>
    <col min="2805" max="2805" width="9.625" style="24" bestFit="1" customWidth="1"/>
    <col min="2806" max="2806" width="7.5" style="24" bestFit="1" customWidth="1"/>
    <col min="2807" max="2807" width="9.625" style="24" bestFit="1" customWidth="1"/>
    <col min="2808" max="2808" width="5.75" style="24" bestFit="1" customWidth="1"/>
    <col min="2809" max="2809" width="8.375" style="24" bestFit="1" customWidth="1"/>
    <col min="2810" max="2810" width="4.75" style="24" bestFit="1" customWidth="1"/>
    <col min="2811" max="2811" width="9.5" style="24" customWidth="1"/>
    <col min="2812" max="2814" width="9" style="24" customWidth="1"/>
    <col min="2815" max="2815" width="6.75" style="24" bestFit="1" customWidth="1"/>
    <col min="2816" max="2816" width="14.25" style="24" customWidth="1"/>
    <col min="2817" max="2820" width="9.625" style="24" bestFit="1" customWidth="1"/>
    <col min="2821" max="2821" width="8.375" style="24" bestFit="1" customWidth="1"/>
    <col min="2822" max="2822" width="11.875" style="24" bestFit="1" customWidth="1"/>
    <col min="2823" max="2824" width="9.625" style="24" bestFit="1" customWidth="1"/>
    <col min="2825" max="2825" width="16.25" style="24" bestFit="1" customWidth="1"/>
    <col min="2826" max="2826" width="15.375" style="24" bestFit="1" customWidth="1"/>
    <col min="2827" max="2827" width="17.125" style="24" customWidth="1"/>
    <col min="2828" max="2828" width="8.375" style="24" bestFit="1" customWidth="1"/>
    <col min="2829" max="2829" width="9.25" style="24" bestFit="1" customWidth="1"/>
    <col min="2830" max="2830" width="8" style="24" bestFit="1" customWidth="1"/>
    <col min="2831" max="3045" width="9" style="24"/>
    <col min="3046" max="3046" width="5.25" style="24" bestFit="1" customWidth="1"/>
    <col min="3047" max="3047" width="8" style="24" bestFit="1" customWidth="1"/>
    <col min="3048" max="3048" width="6.625" style="24" bestFit="1" customWidth="1"/>
    <col min="3049" max="3049" width="7.25" style="24" customWidth="1"/>
    <col min="3050" max="3051" width="9.625" style="24" bestFit="1" customWidth="1"/>
    <col min="3052" max="3052" width="6.25" style="24" bestFit="1" customWidth="1"/>
    <col min="3053" max="3053" width="9.625" style="24" bestFit="1" customWidth="1"/>
    <col min="3054" max="3057" width="9" style="24" customWidth="1"/>
    <col min="3058" max="3058" width="6.625" style="24" bestFit="1" customWidth="1"/>
    <col min="3059" max="3059" width="9.625" style="24" bestFit="1" customWidth="1"/>
    <col min="3060" max="3060" width="6.625" style="24" bestFit="1" customWidth="1"/>
    <col min="3061" max="3061" width="9.625" style="24" bestFit="1" customWidth="1"/>
    <col min="3062" max="3062" width="7.5" style="24" bestFit="1" customWidth="1"/>
    <col min="3063" max="3063" width="9.625" style="24" bestFit="1" customWidth="1"/>
    <col min="3064" max="3064" width="5.75" style="24" bestFit="1" customWidth="1"/>
    <col min="3065" max="3065" width="8.375" style="24" bestFit="1" customWidth="1"/>
    <col min="3066" max="3066" width="4.75" style="24" bestFit="1" customWidth="1"/>
    <col min="3067" max="3067" width="9.5" style="24" customWidth="1"/>
    <col min="3068" max="3070" width="9" style="24" customWidth="1"/>
    <col min="3071" max="3071" width="6.75" style="24" bestFit="1" customWidth="1"/>
    <col min="3072" max="3072" width="14.25" style="24" customWidth="1"/>
    <col min="3073" max="3076" width="9.625" style="24" bestFit="1" customWidth="1"/>
    <col min="3077" max="3077" width="8.375" style="24" bestFit="1" customWidth="1"/>
    <col min="3078" max="3078" width="11.875" style="24" bestFit="1" customWidth="1"/>
    <col min="3079" max="3080" width="9.625" style="24" bestFit="1" customWidth="1"/>
    <col min="3081" max="3081" width="16.25" style="24" bestFit="1" customWidth="1"/>
    <col min="3082" max="3082" width="15.375" style="24" bestFit="1" customWidth="1"/>
    <col min="3083" max="3083" width="17.125" style="24" customWidth="1"/>
    <col min="3084" max="3084" width="8.375" style="24" bestFit="1" customWidth="1"/>
    <col min="3085" max="3085" width="9.25" style="24" bestFit="1" customWidth="1"/>
    <col min="3086" max="3086" width="8" style="24" bestFit="1" customWidth="1"/>
    <col min="3087" max="3301" width="9" style="24"/>
    <col min="3302" max="3302" width="5.25" style="24" bestFit="1" customWidth="1"/>
    <col min="3303" max="3303" width="8" style="24" bestFit="1" customWidth="1"/>
    <col min="3304" max="3304" width="6.625" style="24" bestFit="1" customWidth="1"/>
    <col min="3305" max="3305" width="7.25" style="24" customWidth="1"/>
    <col min="3306" max="3307" width="9.625" style="24" bestFit="1" customWidth="1"/>
    <col min="3308" max="3308" width="6.25" style="24" bestFit="1" customWidth="1"/>
    <col min="3309" max="3309" width="9.625" style="24" bestFit="1" customWidth="1"/>
    <col min="3310" max="3313" width="9" style="24" customWidth="1"/>
    <col min="3314" max="3314" width="6.625" style="24" bestFit="1" customWidth="1"/>
    <col min="3315" max="3315" width="9.625" style="24" bestFit="1" customWidth="1"/>
    <col min="3316" max="3316" width="6.625" style="24" bestFit="1" customWidth="1"/>
    <col min="3317" max="3317" width="9.625" style="24" bestFit="1" customWidth="1"/>
    <col min="3318" max="3318" width="7.5" style="24" bestFit="1" customWidth="1"/>
    <col min="3319" max="3319" width="9.625" style="24" bestFit="1" customWidth="1"/>
    <col min="3320" max="3320" width="5.75" style="24" bestFit="1" customWidth="1"/>
    <col min="3321" max="3321" width="8.375" style="24" bestFit="1" customWidth="1"/>
    <col min="3322" max="3322" width="4.75" style="24" bestFit="1" customWidth="1"/>
    <col min="3323" max="3323" width="9.5" style="24" customWidth="1"/>
    <col min="3324" max="3326" width="9" style="24" customWidth="1"/>
    <col min="3327" max="3327" width="6.75" style="24" bestFit="1" customWidth="1"/>
    <col min="3328" max="3328" width="14.25" style="24" customWidth="1"/>
    <col min="3329" max="3332" width="9.625" style="24" bestFit="1" customWidth="1"/>
    <col min="3333" max="3333" width="8.375" style="24" bestFit="1" customWidth="1"/>
    <col min="3334" max="3334" width="11.875" style="24" bestFit="1" customWidth="1"/>
    <col min="3335" max="3336" width="9.625" style="24" bestFit="1" customWidth="1"/>
    <col min="3337" max="3337" width="16.25" style="24" bestFit="1" customWidth="1"/>
    <col min="3338" max="3338" width="15.375" style="24" bestFit="1" customWidth="1"/>
    <col min="3339" max="3339" width="17.125" style="24" customWidth="1"/>
    <col min="3340" max="3340" width="8.375" style="24" bestFit="1" customWidth="1"/>
    <col min="3341" max="3341" width="9.25" style="24" bestFit="1" customWidth="1"/>
    <col min="3342" max="3342" width="8" style="24" bestFit="1" customWidth="1"/>
    <col min="3343" max="3557" width="9" style="24"/>
    <col min="3558" max="3558" width="5.25" style="24" bestFit="1" customWidth="1"/>
    <col min="3559" max="3559" width="8" style="24" bestFit="1" customWidth="1"/>
    <col min="3560" max="3560" width="6.625" style="24" bestFit="1" customWidth="1"/>
    <col min="3561" max="3561" width="7.25" style="24" customWidth="1"/>
    <col min="3562" max="3563" width="9.625" style="24" bestFit="1" customWidth="1"/>
    <col min="3564" max="3564" width="6.25" style="24" bestFit="1" customWidth="1"/>
    <col min="3565" max="3565" width="9.625" style="24" bestFit="1" customWidth="1"/>
    <col min="3566" max="3569" width="9" style="24" customWidth="1"/>
    <col min="3570" max="3570" width="6.625" style="24" bestFit="1" customWidth="1"/>
    <col min="3571" max="3571" width="9.625" style="24" bestFit="1" customWidth="1"/>
    <col min="3572" max="3572" width="6.625" style="24" bestFit="1" customWidth="1"/>
    <col min="3573" max="3573" width="9.625" style="24" bestFit="1" customWidth="1"/>
    <col min="3574" max="3574" width="7.5" style="24" bestFit="1" customWidth="1"/>
    <col min="3575" max="3575" width="9.625" style="24" bestFit="1" customWidth="1"/>
    <col min="3576" max="3576" width="5.75" style="24" bestFit="1" customWidth="1"/>
    <col min="3577" max="3577" width="8.375" style="24" bestFit="1" customWidth="1"/>
    <col min="3578" max="3578" width="4.75" style="24" bestFit="1" customWidth="1"/>
    <col min="3579" max="3579" width="9.5" style="24" customWidth="1"/>
    <col min="3580" max="3582" width="9" style="24" customWidth="1"/>
    <col min="3583" max="3583" width="6.75" style="24" bestFit="1" customWidth="1"/>
    <col min="3584" max="3584" width="14.25" style="24" customWidth="1"/>
    <col min="3585" max="3588" width="9.625" style="24" bestFit="1" customWidth="1"/>
    <col min="3589" max="3589" width="8.375" style="24" bestFit="1" customWidth="1"/>
    <col min="3590" max="3590" width="11.875" style="24" bestFit="1" customWidth="1"/>
    <col min="3591" max="3592" width="9.625" style="24" bestFit="1" customWidth="1"/>
    <col min="3593" max="3593" width="16.25" style="24" bestFit="1" customWidth="1"/>
    <col min="3594" max="3594" width="15.375" style="24" bestFit="1" customWidth="1"/>
    <col min="3595" max="3595" width="17.125" style="24" customWidth="1"/>
    <col min="3596" max="3596" width="8.375" style="24" bestFit="1" customWidth="1"/>
    <col min="3597" max="3597" width="9.25" style="24" bestFit="1" customWidth="1"/>
    <col min="3598" max="3598" width="8" style="24" bestFit="1" customWidth="1"/>
    <col min="3599" max="3813" width="9" style="24"/>
    <col min="3814" max="3814" width="5.25" style="24" bestFit="1" customWidth="1"/>
    <col min="3815" max="3815" width="8" style="24" bestFit="1" customWidth="1"/>
    <col min="3816" max="3816" width="6.625" style="24" bestFit="1" customWidth="1"/>
    <col min="3817" max="3817" width="7.25" style="24" customWidth="1"/>
    <col min="3818" max="3819" width="9.625" style="24" bestFit="1" customWidth="1"/>
    <col min="3820" max="3820" width="6.25" style="24" bestFit="1" customWidth="1"/>
    <col min="3821" max="3821" width="9.625" style="24" bestFit="1" customWidth="1"/>
    <col min="3822" max="3825" width="9" style="24" customWidth="1"/>
    <col min="3826" max="3826" width="6.625" style="24" bestFit="1" customWidth="1"/>
    <col min="3827" max="3827" width="9.625" style="24" bestFit="1" customWidth="1"/>
    <col min="3828" max="3828" width="6.625" style="24" bestFit="1" customWidth="1"/>
    <col min="3829" max="3829" width="9.625" style="24" bestFit="1" customWidth="1"/>
    <col min="3830" max="3830" width="7.5" style="24" bestFit="1" customWidth="1"/>
    <col min="3831" max="3831" width="9.625" style="24" bestFit="1" customWidth="1"/>
    <col min="3832" max="3832" width="5.75" style="24" bestFit="1" customWidth="1"/>
    <col min="3833" max="3833" width="8.375" style="24" bestFit="1" customWidth="1"/>
    <col min="3834" max="3834" width="4.75" style="24" bestFit="1" customWidth="1"/>
    <col min="3835" max="3835" width="9.5" style="24" customWidth="1"/>
    <col min="3836" max="3838" width="9" style="24" customWidth="1"/>
    <col min="3839" max="3839" width="6.75" style="24" bestFit="1" customWidth="1"/>
    <col min="3840" max="3840" width="14.25" style="24" customWidth="1"/>
    <col min="3841" max="3844" width="9.625" style="24" bestFit="1" customWidth="1"/>
    <col min="3845" max="3845" width="8.375" style="24" bestFit="1" customWidth="1"/>
    <col min="3846" max="3846" width="11.875" style="24" bestFit="1" customWidth="1"/>
    <col min="3847" max="3848" width="9.625" style="24" bestFit="1" customWidth="1"/>
    <col min="3849" max="3849" width="16.25" style="24" bestFit="1" customWidth="1"/>
    <col min="3850" max="3850" width="15.375" style="24" bestFit="1" customWidth="1"/>
    <col min="3851" max="3851" width="17.125" style="24" customWidth="1"/>
    <col min="3852" max="3852" width="8.375" style="24" bestFit="1" customWidth="1"/>
    <col min="3853" max="3853" width="9.25" style="24" bestFit="1" customWidth="1"/>
    <col min="3854" max="3854" width="8" style="24" bestFit="1" customWidth="1"/>
    <col min="3855" max="4069" width="9" style="24"/>
    <col min="4070" max="4070" width="5.25" style="24" bestFit="1" customWidth="1"/>
    <col min="4071" max="4071" width="8" style="24" bestFit="1" customWidth="1"/>
    <col min="4072" max="4072" width="6.625" style="24" bestFit="1" customWidth="1"/>
    <col min="4073" max="4073" width="7.25" style="24" customWidth="1"/>
    <col min="4074" max="4075" width="9.625" style="24" bestFit="1" customWidth="1"/>
    <col min="4076" max="4076" width="6.25" style="24" bestFit="1" customWidth="1"/>
    <col min="4077" max="4077" width="9.625" style="24" bestFit="1" customWidth="1"/>
    <col min="4078" max="4081" width="9" style="24" customWidth="1"/>
    <col min="4082" max="4082" width="6.625" style="24" bestFit="1" customWidth="1"/>
    <col min="4083" max="4083" width="9.625" style="24" bestFit="1" customWidth="1"/>
    <col min="4084" max="4084" width="6.625" style="24" bestFit="1" customWidth="1"/>
    <col min="4085" max="4085" width="9.625" style="24" bestFit="1" customWidth="1"/>
    <col min="4086" max="4086" width="7.5" style="24" bestFit="1" customWidth="1"/>
    <col min="4087" max="4087" width="9.625" style="24" bestFit="1" customWidth="1"/>
    <col min="4088" max="4088" width="5.75" style="24" bestFit="1" customWidth="1"/>
    <col min="4089" max="4089" width="8.375" style="24" bestFit="1" customWidth="1"/>
    <col min="4090" max="4090" width="4.75" style="24" bestFit="1" customWidth="1"/>
    <col min="4091" max="4091" width="9.5" style="24" customWidth="1"/>
    <col min="4092" max="4094" width="9" style="24" customWidth="1"/>
    <col min="4095" max="4095" width="6.75" style="24" bestFit="1" customWidth="1"/>
    <col min="4096" max="4096" width="14.25" style="24" customWidth="1"/>
    <col min="4097" max="4100" width="9.625" style="24" bestFit="1" customWidth="1"/>
    <col min="4101" max="4101" width="8.375" style="24" bestFit="1" customWidth="1"/>
    <col min="4102" max="4102" width="11.875" style="24" bestFit="1" customWidth="1"/>
    <col min="4103" max="4104" width="9.625" style="24" bestFit="1" customWidth="1"/>
    <col min="4105" max="4105" width="16.25" style="24" bestFit="1" customWidth="1"/>
    <col min="4106" max="4106" width="15.375" style="24" bestFit="1" customWidth="1"/>
    <col min="4107" max="4107" width="17.125" style="24" customWidth="1"/>
    <col min="4108" max="4108" width="8.375" style="24" bestFit="1" customWidth="1"/>
    <col min="4109" max="4109" width="9.25" style="24" bestFit="1" customWidth="1"/>
    <col min="4110" max="4110" width="8" style="24" bestFit="1" customWidth="1"/>
    <col min="4111" max="4325" width="9" style="24"/>
    <col min="4326" max="4326" width="5.25" style="24" bestFit="1" customWidth="1"/>
    <col min="4327" max="4327" width="8" style="24" bestFit="1" customWidth="1"/>
    <col min="4328" max="4328" width="6.625" style="24" bestFit="1" customWidth="1"/>
    <col min="4329" max="4329" width="7.25" style="24" customWidth="1"/>
    <col min="4330" max="4331" width="9.625" style="24" bestFit="1" customWidth="1"/>
    <col min="4332" max="4332" width="6.25" style="24" bestFit="1" customWidth="1"/>
    <col min="4333" max="4333" width="9.625" style="24" bestFit="1" customWidth="1"/>
    <col min="4334" max="4337" width="9" style="24" customWidth="1"/>
    <col min="4338" max="4338" width="6.625" style="24" bestFit="1" customWidth="1"/>
    <col min="4339" max="4339" width="9.625" style="24" bestFit="1" customWidth="1"/>
    <col min="4340" max="4340" width="6.625" style="24" bestFit="1" customWidth="1"/>
    <col min="4341" max="4341" width="9.625" style="24" bestFit="1" customWidth="1"/>
    <col min="4342" max="4342" width="7.5" style="24" bestFit="1" customWidth="1"/>
    <col min="4343" max="4343" width="9.625" style="24" bestFit="1" customWidth="1"/>
    <col min="4344" max="4344" width="5.75" style="24" bestFit="1" customWidth="1"/>
    <col min="4345" max="4345" width="8.375" style="24" bestFit="1" customWidth="1"/>
    <col min="4346" max="4346" width="4.75" style="24" bestFit="1" customWidth="1"/>
    <col min="4347" max="4347" width="9.5" style="24" customWidth="1"/>
    <col min="4348" max="4350" width="9" style="24" customWidth="1"/>
    <col min="4351" max="4351" width="6.75" style="24" bestFit="1" customWidth="1"/>
    <col min="4352" max="4352" width="14.25" style="24" customWidth="1"/>
    <col min="4353" max="4356" width="9.625" style="24" bestFit="1" customWidth="1"/>
    <col min="4357" max="4357" width="8.375" style="24" bestFit="1" customWidth="1"/>
    <col min="4358" max="4358" width="11.875" style="24" bestFit="1" customWidth="1"/>
    <col min="4359" max="4360" width="9.625" style="24" bestFit="1" customWidth="1"/>
    <col min="4361" max="4361" width="16.25" style="24" bestFit="1" customWidth="1"/>
    <col min="4362" max="4362" width="15.375" style="24" bestFit="1" customWidth="1"/>
    <col min="4363" max="4363" width="17.125" style="24" customWidth="1"/>
    <col min="4364" max="4364" width="8.375" style="24" bestFit="1" customWidth="1"/>
    <col min="4365" max="4365" width="9.25" style="24" bestFit="1" customWidth="1"/>
    <col min="4366" max="4366" width="8" style="24" bestFit="1" customWidth="1"/>
    <col min="4367" max="4581" width="9" style="24"/>
    <col min="4582" max="4582" width="5.25" style="24" bestFit="1" customWidth="1"/>
    <col min="4583" max="4583" width="8" style="24" bestFit="1" customWidth="1"/>
    <col min="4584" max="4584" width="6.625" style="24" bestFit="1" customWidth="1"/>
    <col min="4585" max="4585" width="7.25" style="24" customWidth="1"/>
    <col min="4586" max="4587" width="9.625" style="24" bestFit="1" customWidth="1"/>
    <col min="4588" max="4588" width="6.25" style="24" bestFit="1" customWidth="1"/>
    <col min="4589" max="4589" width="9.625" style="24" bestFit="1" customWidth="1"/>
    <col min="4590" max="4593" width="9" style="24" customWidth="1"/>
    <col min="4594" max="4594" width="6.625" style="24" bestFit="1" customWidth="1"/>
    <col min="4595" max="4595" width="9.625" style="24" bestFit="1" customWidth="1"/>
    <col min="4596" max="4596" width="6.625" style="24" bestFit="1" customWidth="1"/>
    <col min="4597" max="4597" width="9.625" style="24" bestFit="1" customWidth="1"/>
    <col min="4598" max="4598" width="7.5" style="24" bestFit="1" customWidth="1"/>
    <col min="4599" max="4599" width="9.625" style="24" bestFit="1" customWidth="1"/>
    <col min="4600" max="4600" width="5.75" style="24" bestFit="1" customWidth="1"/>
    <col min="4601" max="4601" width="8.375" style="24" bestFit="1" customWidth="1"/>
    <col min="4602" max="4602" width="4.75" style="24" bestFit="1" customWidth="1"/>
    <col min="4603" max="4603" width="9.5" style="24" customWidth="1"/>
    <col min="4604" max="4606" width="9" style="24" customWidth="1"/>
    <col min="4607" max="4607" width="6.75" style="24" bestFit="1" customWidth="1"/>
    <col min="4608" max="4608" width="14.25" style="24" customWidth="1"/>
    <col min="4609" max="4612" width="9.625" style="24" bestFit="1" customWidth="1"/>
    <col min="4613" max="4613" width="8.375" style="24" bestFit="1" customWidth="1"/>
    <col min="4614" max="4614" width="11.875" style="24" bestFit="1" customWidth="1"/>
    <col min="4615" max="4616" width="9.625" style="24" bestFit="1" customWidth="1"/>
    <col min="4617" max="4617" width="16.25" style="24" bestFit="1" customWidth="1"/>
    <col min="4618" max="4618" width="15.375" style="24" bestFit="1" customWidth="1"/>
    <col min="4619" max="4619" width="17.125" style="24" customWidth="1"/>
    <col min="4620" max="4620" width="8.375" style="24" bestFit="1" customWidth="1"/>
    <col min="4621" max="4621" width="9.25" style="24" bestFit="1" customWidth="1"/>
    <col min="4622" max="4622" width="8" style="24" bestFit="1" customWidth="1"/>
    <col min="4623" max="4837" width="9" style="24"/>
    <col min="4838" max="4838" width="5.25" style="24" bestFit="1" customWidth="1"/>
    <col min="4839" max="4839" width="8" style="24" bestFit="1" customWidth="1"/>
    <col min="4840" max="4840" width="6.625" style="24" bestFit="1" customWidth="1"/>
    <col min="4841" max="4841" width="7.25" style="24" customWidth="1"/>
    <col min="4842" max="4843" width="9.625" style="24" bestFit="1" customWidth="1"/>
    <col min="4844" max="4844" width="6.25" style="24" bestFit="1" customWidth="1"/>
    <col min="4845" max="4845" width="9.625" style="24" bestFit="1" customWidth="1"/>
    <col min="4846" max="4849" width="9" style="24" customWidth="1"/>
    <col min="4850" max="4850" width="6.625" style="24" bestFit="1" customWidth="1"/>
    <col min="4851" max="4851" width="9.625" style="24" bestFit="1" customWidth="1"/>
    <col min="4852" max="4852" width="6.625" style="24" bestFit="1" customWidth="1"/>
    <col min="4853" max="4853" width="9.625" style="24" bestFit="1" customWidth="1"/>
    <col min="4854" max="4854" width="7.5" style="24" bestFit="1" customWidth="1"/>
    <col min="4855" max="4855" width="9.625" style="24" bestFit="1" customWidth="1"/>
    <col min="4856" max="4856" width="5.75" style="24" bestFit="1" customWidth="1"/>
    <col min="4857" max="4857" width="8.375" style="24" bestFit="1" customWidth="1"/>
    <col min="4858" max="4858" width="4.75" style="24" bestFit="1" customWidth="1"/>
    <col min="4859" max="4859" width="9.5" style="24" customWidth="1"/>
    <col min="4860" max="4862" width="9" style="24" customWidth="1"/>
    <col min="4863" max="4863" width="6.75" style="24" bestFit="1" customWidth="1"/>
    <col min="4864" max="4864" width="14.25" style="24" customWidth="1"/>
    <col min="4865" max="4868" width="9.625" style="24" bestFit="1" customWidth="1"/>
    <col min="4869" max="4869" width="8.375" style="24" bestFit="1" customWidth="1"/>
    <col min="4870" max="4870" width="11.875" style="24" bestFit="1" customWidth="1"/>
    <col min="4871" max="4872" width="9.625" style="24" bestFit="1" customWidth="1"/>
    <col min="4873" max="4873" width="16.25" style="24" bestFit="1" customWidth="1"/>
    <col min="4874" max="4874" width="15.375" style="24" bestFit="1" customWidth="1"/>
    <col min="4875" max="4875" width="17.125" style="24" customWidth="1"/>
    <col min="4876" max="4876" width="8.375" style="24" bestFit="1" customWidth="1"/>
    <col min="4877" max="4877" width="9.25" style="24" bestFit="1" customWidth="1"/>
    <col min="4878" max="4878" width="8" style="24" bestFit="1" customWidth="1"/>
    <col min="4879" max="5093" width="9" style="24"/>
    <col min="5094" max="5094" width="5.25" style="24" bestFit="1" customWidth="1"/>
    <col min="5095" max="5095" width="8" style="24" bestFit="1" customWidth="1"/>
    <col min="5096" max="5096" width="6.625" style="24" bestFit="1" customWidth="1"/>
    <col min="5097" max="5097" width="7.25" style="24" customWidth="1"/>
    <col min="5098" max="5099" width="9.625" style="24" bestFit="1" customWidth="1"/>
    <col min="5100" max="5100" width="6.25" style="24" bestFit="1" customWidth="1"/>
    <col min="5101" max="5101" width="9.625" style="24" bestFit="1" customWidth="1"/>
    <col min="5102" max="5105" width="9" style="24" customWidth="1"/>
    <col min="5106" max="5106" width="6.625" style="24" bestFit="1" customWidth="1"/>
    <col min="5107" max="5107" width="9.625" style="24" bestFit="1" customWidth="1"/>
    <col min="5108" max="5108" width="6.625" style="24" bestFit="1" customWidth="1"/>
    <col min="5109" max="5109" width="9.625" style="24" bestFit="1" customWidth="1"/>
    <col min="5110" max="5110" width="7.5" style="24" bestFit="1" customWidth="1"/>
    <col min="5111" max="5111" width="9.625" style="24" bestFit="1" customWidth="1"/>
    <col min="5112" max="5112" width="5.75" style="24" bestFit="1" customWidth="1"/>
    <col min="5113" max="5113" width="8.375" style="24" bestFit="1" customWidth="1"/>
    <col min="5114" max="5114" width="4.75" style="24" bestFit="1" customWidth="1"/>
    <col min="5115" max="5115" width="9.5" style="24" customWidth="1"/>
    <col min="5116" max="5118" width="9" style="24" customWidth="1"/>
    <col min="5119" max="5119" width="6.75" style="24" bestFit="1" customWidth="1"/>
    <col min="5120" max="5120" width="14.25" style="24" customWidth="1"/>
    <col min="5121" max="5124" width="9.625" style="24" bestFit="1" customWidth="1"/>
    <col min="5125" max="5125" width="8.375" style="24" bestFit="1" customWidth="1"/>
    <col min="5126" max="5126" width="11.875" style="24" bestFit="1" customWidth="1"/>
    <col min="5127" max="5128" width="9.625" style="24" bestFit="1" customWidth="1"/>
    <col min="5129" max="5129" width="16.25" style="24" bestFit="1" customWidth="1"/>
    <col min="5130" max="5130" width="15.375" style="24" bestFit="1" customWidth="1"/>
    <col min="5131" max="5131" width="17.125" style="24" customWidth="1"/>
    <col min="5132" max="5132" width="8.375" style="24" bestFit="1" customWidth="1"/>
    <col min="5133" max="5133" width="9.25" style="24" bestFit="1" customWidth="1"/>
    <col min="5134" max="5134" width="8" style="24" bestFit="1" customWidth="1"/>
    <col min="5135" max="5349" width="9" style="24"/>
    <col min="5350" max="5350" width="5.25" style="24" bestFit="1" customWidth="1"/>
    <col min="5351" max="5351" width="8" style="24" bestFit="1" customWidth="1"/>
    <col min="5352" max="5352" width="6.625" style="24" bestFit="1" customWidth="1"/>
    <col min="5353" max="5353" width="7.25" style="24" customWidth="1"/>
    <col min="5354" max="5355" width="9.625" style="24" bestFit="1" customWidth="1"/>
    <col min="5356" max="5356" width="6.25" style="24" bestFit="1" customWidth="1"/>
    <col min="5357" max="5357" width="9.625" style="24" bestFit="1" customWidth="1"/>
    <col min="5358" max="5361" width="9" style="24" customWidth="1"/>
    <col min="5362" max="5362" width="6.625" style="24" bestFit="1" customWidth="1"/>
    <col min="5363" max="5363" width="9.625" style="24" bestFit="1" customWidth="1"/>
    <col min="5364" max="5364" width="6.625" style="24" bestFit="1" customWidth="1"/>
    <col min="5365" max="5365" width="9.625" style="24" bestFit="1" customWidth="1"/>
    <col min="5366" max="5366" width="7.5" style="24" bestFit="1" customWidth="1"/>
    <col min="5367" max="5367" width="9.625" style="24" bestFit="1" customWidth="1"/>
    <col min="5368" max="5368" width="5.75" style="24" bestFit="1" customWidth="1"/>
    <col min="5369" max="5369" width="8.375" style="24" bestFit="1" customWidth="1"/>
    <col min="5370" max="5370" width="4.75" style="24" bestFit="1" customWidth="1"/>
    <col min="5371" max="5371" width="9.5" style="24" customWidth="1"/>
    <col min="5372" max="5374" width="9" style="24" customWidth="1"/>
    <col min="5375" max="5375" width="6.75" style="24" bestFit="1" customWidth="1"/>
    <col min="5376" max="5376" width="14.25" style="24" customWidth="1"/>
    <col min="5377" max="5380" width="9.625" style="24" bestFit="1" customWidth="1"/>
    <col min="5381" max="5381" width="8.375" style="24" bestFit="1" customWidth="1"/>
    <col min="5382" max="5382" width="11.875" style="24" bestFit="1" customWidth="1"/>
    <col min="5383" max="5384" width="9.625" style="24" bestFit="1" customWidth="1"/>
    <col min="5385" max="5385" width="16.25" style="24" bestFit="1" customWidth="1"/>
    <col min="5386" max="5386" width="15.375" style="24" bestFit="1" customWidth="1"/>
    <col min="5387" max="5387" width="17.125" style="24" customWidth="1"/>
    <col min="5388" max="5388" width="8.375" style="24" bestFit="1" customWidth="1"/>
    <col min="5389" max="5389" width="9.25" style="24" bestFit="1" customWidth="1"/>
    <col min="5390" max="5390" width="8" style="24" bestFit="1" customWidth="1"/>
    <col min="5391" max="5605" width="9" style="24"/>
    <col min="5606" max="5606" width="5.25" style="24" bestFit="1" customWidth="1"/>
    <col min="5607" max="5607" width="8" style="24" bestFit="1" customWidth="1"/>
    <col min="5608" max="5608" width="6.625" style="24" bestFit="1" customWidth="1"/>
    <col min="5609" max="5609" width="7.25" style="24" customWidth="1"/>
    <col min="5610" max="5611" width="9.625" style="24" bestFit="1" customWidth="1"/>
    <col min="5612" max="5612" width="6.25" style="24" bestFit="1" customWidth="1"/>
    <col min="5613" max="5613" width="9.625" style="24" bestFit="1" customWidth="1"/>
    <col min="5614" max="5617" width="9" style="24" customWidth="1"/>
    <col min="5618" max="5618" width="6.625" style="24" bestFit="1" customWidth="1"/>
    <col min="5619" max="5619" width="9.625" style="24" bestFit="1" customWidth="1"/>
    <col min="5620" max="5620" width="6.625" style="24" bestFit="1" customWidth="1"/>
    <col min="5621" max="5621" width="9.625" style="24" bestFit="1" customWidth="1"/>
    <col min="5622" max="5622" width="7.5" style="24" bestFit="1" customWidth="1"/>
    <col min="5623" max="5623" width="9.625" style="24" bestFit="1" customWidth="1"/>
    <col min="5624" max="5624" width="5.75" style="24" bestFit="1" customWidth="1"/>
    <col min="5625" max="5625" width="8.375" style="24" bestFit="1" customWidth="1"/>
    <col min="5626" max="5626" width="4.75" style="24" bestFit="1" customWidth="1"/>
    <col min="5627" max="5627" width="9.5" style="24" customWidth="1"/>
    <col min="5628" max="5630" width="9" style="24" customWidth="1"/>
    <col min="5631" max="5631" width="6.75" style="24" bestFit="1" customWidth="1"/>
    <col min="5632" max="5632" width="14.25" style="24" customWidth="1"/>
    <col min="5633" max="5636" width="9.625" style="24" bestFit="1" customWidth="1"/>
    <col min="5637" max="5637" width="8.375" style="24" bestFit="1" customWidth="1"/>
    <col min="5638" max="5638" width="11.875" style="24" bestFit="1" customWidth="1"/>
    <col min="5639" max="5640" width="9.625" style="24" bestFit="1" customWidth="1"/>
    <col min="5641" max="5641" width="16.25" style="24" bestFit="1" customWidth="1"/>
    <col min="5642" max="5642" width="15.375" style="24" bestFit="1" customWidth="1"/>
    <col min="5643" max="5643" width="17.125" style="24" customWidth="1"/>
    <col min="5644" max="5644" width="8.375" style="24" bestFit="1" customWidth="1"/>
    <col min="5645" max="5645" width="9.25" style="24" bestFit="1" customWidth="1"/>
    <col min="5646" max="5646" width="8" style="24" bestFit="1" customWidth="1"/>
    <col min="5647" max="5861" width="9" style="24"/>
    <col min="5862" max="5862" width="5.25" style="24" bestFit="1" customWidth="1"/>
    <col min="5863" max="5863" width="8" style="24" bestFit="1" customWidth="1"/>
    <col min="5864" max="5864" width="6.625" style="24" bestFit="1" customWidth="1"/>
    <col min="5865" max="5865" width="7.25" style="24" customWidth="1"/>
    <col min="5866" max="5867" width="9.625" style="24" bestFit="1" customWidth="1"/>
    <col min="5868" max="5868" width="6.25" style="24" bestFit="1" customWidth="1"/>
    <col min="5869" max="5869" width="9.625" style="24" bestFit="1" customWidth="1"/>
    <col min="5870" max="5873" width="9" style="24" customWidth="1"/>
    <col min="5874" max="5874" width="6.625" style="24" bestFit="1" customWidth="1"/>
    <col min="5875" max="5875" width="9.625" style="24" bestFit="1" customWidth="1"/>
    <col min="5876" max="5876" width="6.625" style="24" bestFit="1" customWidth="1"/>
    <col min="5877" max="5877" width="9.625" style="24" bestFit="1" customWidth="1"/>
    <col min="5878" max="5878" width="7.5" style="24" bestFit="1" customWidth="1"/>
    <col min="5879" max="5879" width="9.625" style="24" bestFit="1" customWidth="1"/>
    <col min="5880" max="5880" width="5.75" style="24" bestFit="1" customWidth="1"/>
    <col min="5881" max="5881" width="8.375" style="24" bestFit="1" customWidth="1"/>
    <col min="5882" max="5882" width="4.75" style="24" bestFit="1" customWidth="1"/>
    <col min="5883" max="5883" width="9.5" style="24" customWidth="1"/>
    <col min="5884" max="5886" width="9" style="24" customWidth="1"/>
    <col min="5887" max="5887" width="6.75" style="24" bestFit="1" customWidth="1"/>
    <col min="5888" max="5888" width="14.25" style="24" customWidth="1"/>
    <col min="5889" max="5892" width="9.625" style="24" bestFit="1" customWidth="1"/>
    <col min="5893" max="5893" width="8.375" style="24" bestFit="1" customWidth="1"/>
    <col min="5894" max="5894" width="11.875" style="24" bestFit="1" customWidth="1"/>
    <col min="5895" max="5896" width="9.625" style="24" bestFit="1" customWidth="1"/>
    <col min="5897" max="5897" width="16.25" style="24" bestFit="1" customWidth="1"/>
    <col min="5898" max="5898" width="15.375" style="24" bestFit="1" customWidth="1"/>
    <col min="5899" max="5899" width="17.125" style="24" customWidth="1"/>
    <col min="5900" max="5900" width="8.375" style="24" bestFit="1" customWidth="1"/>
    <col min="5901" max="5901" width="9.25" style="24" bestFit="1" customWidth="1"/>
    <col min="5902" max="5902" width="8" style="24" bestFit="1" customWidth="1"/>
    <col min="5903" max="6117" width="9" style="24"/>
    <col min="6118" max="6118" width="5.25" style="24" bestFit="1" customWidth="1"/>
    <col min="6119" max="6119" width="8" style="24" bestFit="1" customWidth="1"/>
    <col min="6120" max="6120" width="6.625" style="24" bestFit="1" customWidth="1"/>
    <col min="6121" max="6121" width="7.25" style="24" customWidth="1"/>
    <col min="6122" max="6123" width="9.625" style="24" bestFit="1" customWidth="1"/>
    <col min="6124" max="6124" width="6.25" style="24" bestFit="1" customWidth="1"/>
    <col min="6125" max="6125" width="9.625" style="24" bestFit="1" customWidth="1"/>
    <col min="6126" max="6129" width="9" style="24" customWidth="1"/>
    <col min="6130" max="6130" width="6.625" style="24" bestFit="1" customWidth="1"/>
    <col min="6131" max="6131" width="9.625" style="24" bestFit="1" customWidth="1"/>
    <col min="6132" max="6132" width="6.625" style="24" bestFit="1" customWidth="1"/>
    <col min="6133" max="6133" width="9.625" style="24" bestFit="1" customWidth="1"/>
    <col min="6134" max="6134" width="7.5" style="24" bestFit="1" customWidth="1"/>
    <col min="6135" max="6135" width="9.625" style="24" bestFit="1" customWidth="1"/>
    <col min="6136" max="6136" width="5.75" style="24" bestFit="1" customWidth="1"/>
    <col min="6137" max="6137" width="8.375" style="24" bestFit="1" customWidth="1"/>
    <col min="6138" max="6138" width="4.75" style="24" bestFit="1" customWidth="1"/>
    <col min="6139" max="6139" width="9.5" style="24" customWidth="1"/>
    <col min="6140" max="6142" width="9" style="24" customWidth="1"/>
    <col min="6143" max="6143" width="6.75" style="24" bestFit="1" customWidth="1"/>
    <col min="6144" max="6144" width="14.25" style="24" customWidth="1"/>
    <col min="6145" max="6148" width="9.625" style="24" bestFit="1" customWidth="1"/>
    <col min="6149" max="6149" width="8.375" style="24" bestFit="1" customWidth="1"/>
    <col min="6150" max="6150" width="11.875" style="24" bestFit="1" customWidth="1"/>
    <col min="6151" max="6152" width="9.625" style="24" bestFit="1" customWidth="1"/>
    <col min="6153" max="6153" width="16.25" style="24" bestFit="1" customWidth="1"/>
    <col min="6154" max="6154" width="15.375" style="24" bestFit="1" customWidth="1"/>
    <col min="6155" max="6155" width="17.125" style="24" customWidth="1"/>
    <col min="6156" max="6156" width="8.375" style="24" bestFit="1" customWidth="1"/>
    <col min="6157" max="6157" width="9.25" style="24" bestFit="1" customWidth="1"/>
    <col min="6158" max="6158" width="8" style="24" bestFit="1" customWidth="1"/>
    <col min="6159" max="6373" width="9" style="24"/>
    <col min="6374" max="6374" width="5.25" style="24" bestFit="1" customWidth="1"/>
    <col min="6375" max="6375" width="8" style="24" bestFit="1" customWidth="1"/>
    <col min="6376" max="6376" width="6.625" style="24" bestFit="1" customWidth="1"/>
    <col min="6377" max="6377" width="7.25" style="24" customWidth="1"/>
    <col min="6378" max="6379" width="9.625" style="24" bestFit="1" customWidth="1"/>
    <col min="6380" max="6380" width="6.25" style="24" bestFit="1" customWidth="1"/>
    <col min="6381" max="6381" width="9.625" style="24" bestFit="1" customWidth="1"/>
    <col min="6382" max="6385" width="9" style="24" customWidth="1"/>
    <col min="6386" max="6386" width="6.625" style="24" bestFit="1" customWidth="1"/>
    <col min="6387" max="6387" width="9.625" style="24" bestFit="1" customWidth="1"/>
    <col min="6388" max="6388" width="6.625" style="24" bestFit="1" customWidth="1"/>
    <col min="6389" max="6389" width="9.625" style="24" bestFit="1" customWidth="1"/>
    <col min="6390" max="6390" width="7.5" style="24" bestFit="1" customWidth="1"/>
    <col min="6391" max="6391" width="9.625" style="24" bestFit="1" customWidth="1"/>
    <col min="6392" max="6392" width="5.75" style="24" bestFit="1" customWidth="1"/>
    <col min="6393" max="6393" width="8.375" style="24" bestFit="1" customWidth="1"/>
    <col min="6394" max="6394" width="4.75" style="24" bestFit="1" customWidth="1"/>
    <col min="6395" max="6395" width="9.5" style="24" customWidth="1"/>
    <col min="6396" max="6398" width="9" style="24" customWidth="1"/>
    <col min="6399" max="6399" width="6.75" style="24" bestFit="1" customWidth="1"/>
    <col min="6400" max="6400" width="14.25" style="24" customWidth="1"/>
    <col min="6401" max="6404" width="9.625" style="24" bestFit="1" customWidth="1"/>
    <col min="6405" max="6405" width="8.375" style="24" bestFit="1" customWidth="1"/>
    <col min="6406" max="6406" width="11.875" style="24" bestFit="1" customWidth="1"/>
    <col min="6407" max="6408" width="9.625" style="24" bestFit="1" customWidth="1"/>
    <col min="6409" max="6409" width="16.25" style="24" bestFit="1" customWidth="1"/>
    <col min="6410" max="6410" width="15.375" style="24" bestFit="1" customWidth="1"/>
    <col min="6411" max="6411" width="17.125" style="24" customWidth="1"/>
    <col min="6412" max="6412" width="8.375" style="24" bestFit="1" customWidth="1"/>
    <col min="6413" max="6413" width="9.25" style="24" bestFit="1" customWidth="1"/>
    <col min="6414" max="6414" width="8" style="24" bestFit="1" customWidth="1"/>
    <col min="6415" max="6629" width="9" style="24"/>
    <col min="6630" max="6630" width="5.25" style="24" bestFit="1" customWidth="1"/>
    <col min="6631" max="6631" width="8" style="24" bestFit="1" customWidth="1"/>
    <col min="6632" max="6632" width="6.625" style="24" bestFit="1" customWidth="1"/>
    <col min="6633" max="6633" width="7.25" style="24" customWidth="1"/>
    <col min="6634" max="6635" width="9.625" style="24" bestFit="1" customWidth="1"/>
    <col min="6636" max="6636" width="6.25" style="24" bestFit="1" customWidth="1"/>
    <col min="6637" max="6637" width="9.625" style="24" bestFit="1" customWidth="1"/>
    <col min="6638" max="6641" width="9" style="24" customWidth="1"/>
    <col min="6642" max="6642" width="6.625" style="24" bestFit="1" customWidth="1"/>
    <col min="6643" max="6643" width="9.625" style="24" bestFit="1" customWidth="1"/>
    <col min="6644" max="6644" width="6.625" style="24" bestFit="1" customWidth="1"/>
    <col min="6645" max="6645" width="9.625" style="24" bestFit="1" customWidth="1"/>
    <col min="6646" max="6646" width="7.5" style="24" bestFit="1" customWidth="1"/>
    <col min="6647" max="6647" width="9.625" style="24" bestFit="1" customWidth="1"/>
    <col min="6648" max="6648" width="5.75" style="24" bestFit="1" customWidth="1"/>
    <col min="6649" max="6649" width="8.375" style="24" bestFit="1" customWidth="1"/>
    <col min="6650" max="6650" width="4.75" style="24" bestFit="1" customWidth="1"/>
    <col min="6651" max="6651" width="9.5" style="24" customWidth="1"/>
    <col min="6652" max="6654" width="9" style="24" customWidth="1"/>
    <col min="6655" max="6655" width="6.75" style="24" bestFit="1" customWidth="1"/>
    <col min="6656" max="6656" width="14.25" style="24" customWidth="1"/>
    <col min="6657" max="6660" width="9.625" style="24" bestFit="1" customWidth="1"/>
    <col min="6661" max="6661" width="8.375" style="24" bestFit="1" customWidth="1"/>
    <col min="6662" max="6662" width="11.875" style="24" bestFit="1" customWidth="1"/>
    <col min="6663" max="6664" width="9.625" style="24" bestFit="1" customWidth="1"/>
    <col min="6665" max="6665" width="16.25" style="24" bestFit="1" customWidth="1"/>
    <col min="6666" max="6666" width="15.375" style="24" bestFit="1" customWidth="1"/>
    <col min="6667" max="6667" width="17.125" style="24" customWidth="1"/>
    <col min="6668" max="6668" width="8.375" style="24" bestFit="1" customWidth="1"/>
    <col min="6669" max="6669" width="9.25" style="24" bestFit="1" customWidth="1"/>
    <col min="6670" max="6670" width="8" style="24" bestFit="1" customWidth="1"/>
    <col min="6671" max="6885" width="9" style="24"/>
    <col min="6886" max="6886" width="5.25" style="24" bestFit="1" customWidth="1"/>
    <col min="6887" max="6887" width="8" style="24" bestFit="1" customWidth="1"/>
    <col min="6888" max="6888" width="6.625" style="24" bestFit="1" customWidth="1"/>
    <col min="6889" max="6889" width="7.25" style="24" customWidth="1"/>
    <col min="6890" max="6891" width="9.625" style="24" bestFit="1" customWidth="1"/>
    <col min="6892" max="6892" width="6.25" style="24" bestFit="1" customWidth="1"/>
    <col min="6893" max="6893" width="9.625" style="24" bestFit="1" customWidth="1"/>
    <col min="6894" max="6897" width="9" style="24" customWidth="1"/>
    <col min="6898" max="6898" width="6.625" style="24" bestFit="1" customWidth="1"/>
    <col min="6899" max="6899" width="9.625" style="24" bestFit="1" customWidth="1"/>
    <col min="6900" max="6900" width="6.625" style="24" bestFit="1" customWidth="1"/>
    <col min="6901" max="6901" width="9.625" style="24" bestFit="1" customWidth="1"/>
    <col min="6902" max="6902" width="7.5" style="24" bestFit="1" customWidth="1"/>
    <col min="6903" max="6903" width="9.625" style="24" bestFit="1" customWidth="1"/>
    <col min="6904" max="6904" width="5.75" style="24" bestFit="1" customWidth="1"/>
    <col min="6905" max="6905" width="8.375" style="24" bestFit="1" customWidth="1"/>
    <col min="6906" max="6906" width="4.75" style="24" bestFit="1" customWidth="1"/>
    <col min="6907" max="6907" width="9.5" style="24" customWidth="1"/>
    <col min="6908" max="6910" width="9" style="24" customWidth="1"/>
    <col min="6911" max="6911" width="6.75" style="24" bestFit="1" customWidth="1"/>
    <col min="6912" max="6912" width="14.25" style="24" customWidth="1"/>
    <col min="6913" max="6916" width="9.625" style="24" bestFit="1" customWidth="1"/>
    <col min="6917" max="6917" width="8.375" style="24" bestFit="1" customWidth="1"/>
    <col min="6918" max="6918" width="11.875" style="24" bestFit="1" customWidth="1"/>
    <col min="6919" max="6920" width="9.625" style="24" bestFit="1" customWidth="1"/>
    <col min="6921" max="6921" width="16.25" style="24" bestFit="1" customWidth="1"/>
    <col min="6922" max="6922" width="15.375" style="24" bestFit="1" customWidth="1"/>
    <col min="6923" max="6923" width="17.125" style="24" customWidth="1"/>
    <col min="6924" max="6924" width="8.375" style="24" bestFit="1" customWidth="1"/>
    <col min="6925" max="6925" width="9.25" style="24" bestFit="1" customWidth="1"/>
    <col min="6926" max="6926" width="8" style="24" bestFit="1" customWidth="1"/>
    <col min="6927" max="7141" width="9" style="24"/>
    <col min="7142" max="7142" width="5.25" style="24" bestFit="1" customWidth="1"/>
    <col min="7143" max="7143" width="8" style="24" bestFit="1" customWidth="1"/>
    <col min="7144" max="7144" width="6.625" style="24" bestFit="1" customWidth="1"/>
    <col min="7145" max="7145" width="7.25" style="24" customWidth="1"/>
    <col min="7146" max="7147" width="9.625" style="24" bestFit="1" customWidth="1"/>
    <col min="7148" max="7148" width="6.25" style="24" bestFit="1" customWidth="1"/>
    <col min="7149" max="7149" width="9.625" style="24" bestFit="1" customWidth="1"/>
    <col min="7150" max="7153" width="9" style="24" customWidth="1"/>
    <col min="7154" max="7154" width="6.625" style="24" bestFit="1" customWidth="1"/>
    <col min="7155" max="7155" width="9.625" style="24" bestFit="1" customWidth="1"/>
    <col min="7156" max="7156" width="6.625" style="24" bestFit="1" customWidth="1"/>
    <col min="7157" max="7157" width="9.625" style="24" bestFit="1" customWidth="1"/>
    <col min="7158" max="7158" width="7.5" style="24" bestFit="1" customWidth="1"/>
    <col min="7159" max="7159" width="9.625" style="24" bestFit="1" customWidth="1"/>
    <col min="7160" max="7160" width="5.75" style="24" bestFit="1" customWidth="1"/>
    <col min="7161" max="7161" width="8.375" style="24" bestFit="1" customWidth="1"/>
    <col min="7162" max="7162" width="4.75" style="24" bestFit="1" customWidth="1"/>
    <col min="7163" max="7163" width="9.5" style="24" customWidth="1"/>
    <col min="7164" max="7166" width="9" style="24" customWidth="1"/>
    <col min="7167" max="7167" width="6.75" style="24" bestFit="1" customWidth="1"/>
    <col min="7168" max="7168" width="14.25" style="24" customWidth="1"/>
    <col min="7169" max="7172" width="9.625" style="24" bestFit="1" customWidth="1"/>
    <col min="7173" max="7173" width="8.375" style="24" bestFit="1" customWidth="1"/>
    <col min="7174" max="7174" width="11.875" style="24" bestFit="1" customWidth="1"/>
    <col min="7175" max="7176" width="9.625" style="24" bestFit="1" customWidth="1"/>
    <col min="7177" max="7177" width="16.25" style="24" bestFit="1" customWidth="1"/>
    <col min="7178" max="7178" width="15.375" style="24" bestFit="1" customWidth="1"/>
    <col min="7179" max="7179" width="17.125" style="24" customWidth="1"/>
    <col min="7180" max="7180" width="8.375" style="24" bestFit="1" customWidth="1"/>
    <col min="7181" max="7181" width="9.25" style="24" bestFit="1" customWidth="1"/>
    <col min="7182" max="7182" width="8" style="24" bestFit="1" customWidth="1"/>
    <col min="7183" max="7397" width="9" style="24"/>
    <col min="7398" max="7398" width="5.25" style="24" bestFit="1" customWidth="1"/>
    <col min="7399" max="7399" width="8" style="24" bestFit="1" customWidth="1"/>
    <col min="7400" max="7400" width="6.625" style="24" bestFit="1" customWidth="1"/>
    <col min="7401" max="7401" width="7.25" style="24" customWidth="1"/>
    <col min="7402" max="7403" width="9.625" style="24" bestFit="1" customWidth="1"/>
    <col min="7404" max="7404" width="6.25" style="24" bestFit="1" customWidth="1"/>
    <col min="7405" max="7405" width="9.625" style="24" bestFit="1" customWidth="1"/>
    <col min="7406" max="7409" width="9" style="24" customWidth="1"/>
    <col min="7410" max="7410" width="6.625" style="24" bestFit="1" customWidth="1"/>
    <col min="7411" max="7411" width="9.625" style="24" bestFit="1" customWidth="1"/>
    <col min="7412" max="7412" width="6.625" style="24" bestFit="1" customWidth="1"/>
    <col min="7413" max="7413" width="9.625" style="24" bestFit="1" customWidth="1"/>
    <col min="7414" max="7414" width="7.5" style="24" bestFit="1" customWidth="1"/>
    <col min="7415" max="7415" width="9.625" style="24" bestFit="1" customWidth="1"/>
    <col min="7416" max="7416" width="5.75" style="24" bestFit="1" customWidth="1"/>
    <col min="7417" max="7417" width="8.375" style="24" bestFit="1" customWidth="1"/>
    <col min="7418" max="7418" width="4.75" style="24" bestFit="1" customWidth="1"/>
    <col min="7419" max="7419" width="9.5" style="24" customWidth="1"/>
    <col min="7420" max="7422" width="9" style="24" customWidth="1"/>
    <col min="7423" max="7423" width="6.75" style="24" bestFit="1" customWidth="1"/>
    <col min="7424" max="7424" width="14.25" style="24" customWidth="1"/>
    <col min="7425" max="7428" width="9.625" style="24" bestFit="1" customWidth="1"/>
    <col min="7429" max="7429" width="8.375" style="24" bestFit="1" customWidth="1"/>
    <col min="7430" max="7430" width="11.875" style="24" bestFit="1" customWidth="1"/>
    <col min="7431" max="7432" width="9.625" style="24" bestFit="1" customWidth="1"/>
    <col min="7433" max="7433" width="16.25" style="24" bestFit="1" customWidth="1"/>
    <col min="7434" max="7434" width="15.375" style="24" bestFit="1" customWidth="1"/>
    <col min="7435" max="7435" width="17.125" style="24" customWidth="1"/>
    <col min="7436" max="7436" width="8.375" style="24" bestFit="1" customWidth="1"/>
    <col min="7437" max="7437" width="9.25" style="24" bestFit="1" customWidth="1"/>
    <col min="7438" max="7438" width="8" style="24" bestFit="1" customWidth="1"/>
    <col min="7439" max="7653" width="9" style="24"/>
    <col min="7654" max="7654" width="5.25" style="24" bestFit="1" customWidth="1"/>
    <col min="7655" max="7655" width="8" style="24" bestFit="1" customWidth="1"/>
    <col min="7656" max="7656" width="6.625" style="24" bestFit="1" customWidth="1"/>
    <col min="7657" max="7657" width="7.25" style="24" customWidth="1"/>
    <col min="7658" max="7659" width="9.625" style="24" bestFit="1" customWidth="1"/>
    <col min="7660" max="7660" width="6.25" style="24" bestFit="1" customWidth="1"/>
    <col min="7661" max="7661" width="9.625" style="24" bestFit="1" customWidth="1"/>
    <col min="7662" max="7665" width="9" style="24" customWidth="1"/>
    <col min="7666" max="7666" width="6.625" style="24" bestFit="1" customWidth="1"/>
    <col min="7667" max="7667" width="9.625" style="24" bestFit="1" customWidth="1"/>
    <col min="7668" max="7668" width="6.625" style="24" bestFit="1" customWidth="1"/>
    <col min="7669" max="7669" width="9.625" style="24" bestFit="1" customWidth="1"/>
    <col min="7670" max="7670" width="7.5" style="24" bestFit="1" customWidth="1"/>
    <col min="7671" max="7671" width="9.625" style="24" bestFit="1" customWidth="1"/>
    <col min="7672" max="7672" width="5.75" style="24" bestFit="1" customWidth="1"/>
    <col min="7673" max="7673" width="8.375" style="24" bestFit="1" customWidth="1"/>
    <col min="7674" max="7674" width="4.75" style="24" bestFit="1" customWidth="1"/>
    <col min="7675" max="7675" width="9.5" style="24" customWidth="1"/>
    <col min="7676" max="7678" width="9" style="24" customWidth="1"/>
    <col min="7679" max="7679" width="6.75" style="24" bestFit="1" customWidth="1"/>
    <col min="7680" max="7680" width="14.25" style="24" customWidth="1"/>
    <col min="7681" max="7684" width="9.625" style="24" bestFit="1" customWidth="1"/>
    <col min="7685" max="7685" width="8.375" style="24" bestFit="1" customWidth="1"/>
    <col min="7686" max="7686" width="11.875" style="24" bestFit="1" customWidth="1"/>
    <col min="7687" max="7688" width="9.625" style="24" bestFit="1" customWidth="1"/>
    <col min="7689" max="7689" width="16.25" style="24" bestFit="1" customWidth="1"/>
    <col min="7690" max="7690" width="15.375" style="24" bestFit="1" customWidth="1"/>
    <col min="7691" max="7691" width="17.125" style="24" customWidth="1"/>
    <col min="7692" max="7692" width="8.375" style="24" bestFit="1" customWidth="1"/>
    <col min="7693" max="7693" width="9.25" style="24" bestFit="1" customWidth="1"/>
    <col min="7694" max="7694" width="8" style="24" bestFit="1" customWidth="1"/>
    <col min="7695" max="7909" width="9" style="24"/>
    <col min="7910" max="7910" width="5.25" style="24" bestFit="1" customWidth="1"/>
    <col min="7911" max="7911" width="8" style="24" bestFit="1" customWidth="1"/>
    <col min="7912" max="7912" width="6.625" style="24" bestFit="1" customWidth="1"/>
    <col min="7913" max="7913" width="7.25" style="24" customWidth="1"/>
    <col min="7914" max="7915" width="9.625" style="24" bestFit="1" customWidth="1"/>
    <col min="7916" max="7916" width="6.25" style="24" bestFit="1" customWidth="1"/>
    <col min="7917" max="7917" width="9.625" style="24" bestFit="1" customWidth="1"/>
    <col min="7918" max="7921" width="9" style="24" customWidth="1"/>
    <col min="7922" max="7922" width="6.625" style="24" bestFit="1" customWidth="1"/>
    <col min="7923" max="7923" width="9.625" style="24" bestFit="1" customWidth="1"/>
    <col min="7924" max="7924" width="6.625" style="24" bestFit="1" customWidth="1"/>
    <col min="7925" max="7925" width="9.625" style="24" bestFit="1" customWidth="1"/>
    <col min="7926" max="7926" width="7.5" style="24" bestFit="1" customWidth="1"/>
    <col min="7927" max="7927" width="9.625" style="24" bestFit="1" customWidth="1"/>
    <col min="7928" max="7928" width="5.75" style="24" bestFit="1" customWidth="1"/>
    <col min="7929" max="7929" width="8.375" style="24" bestFit="1" customWidth="1"/>
    <col min="7930" max="7930" width="4.75" style="24" bestFit="1" customWidth="1"/>
    <col min="7931" max="7931" width="9.5" style="24" customWidth="1"/>
    <col min="7932" max="7934" width="9" style="24" customWidth="1"/>
    <col min="7935" max="7935" width="6.75" style="24" bestFit="1" customWidth="1"/>
    <col min="7936" max="7936" width="14.25" style="24" customWidth="1"/>
    <col min="7937" max="7940" width="9.625" style="24" bestFit="1" customWidth="1"/>
    <col min="7941" max="7941" width="8.375" style="24" bestFit="1" customWidth="1"/>
    <col min="7942" max="7942" width="11.875" style="24" bestFit="1" customWidth="1"/>
    <col min="7943" max="7944" width="9.625" style="24" bestFit="1" customWidth="1"/>
    <col min="7945" max="7945" width="16.25" style="24" bestFit="1" customWidth="1"/>
    <col min="7946" max="7946" width="15.375" style="24" bestFit="1" customWidth="1"/>
    <col min="7947" max="7947" width="17.125" style="24" customWidth="1"/>
    <col min="7948" max="7948" width="8.375" style="24" bestFit="1" customWidth="1"/>
    <col min="7949" max="7949" width="9.25" style="24" bestFit="1" customWidth="1"/>
    <col min="7950" max="7950" width="8" style="24" bestFit="1" customWidth="1"/>
    <col min="7951" max="8165" width="9" style="24"/>
    <col min="8166" max="8166" width="5.25" style="24" bestFit="1" customWidth="1"/>
    <col min="8167" max="8167" width="8" style="24" bestFit="1" customWidth="1"/>
    <col min="8168" max="8168" width="6.625" style="24" bestFit="1" customWidth="1"/>
    <col min="8169" max="8169" width="7.25" style="24" customWidth="1"/>
    <col min="8170" max="8171" width="9.625" style="24" bestFit="1" customWidth="1"/>
    <col min="8172" max="8172" width="6.25" style="24" bestFit="1" customWidth="1"/>
    <col min="8173" max="8173" width="9.625" style="24" bestFit="1" customWidth="1"/>
    <col min="8174" max="8177" width="9" style="24" customWidth="1"/>
    <col min="8178" max="8178" width="6.625" style="24" bestFit="1" customWidth="1"/>
    <col min="8179" max="8179" width="9.625" style="24" bestFit="1" customWidth="1"/>
    <col min="8180" max="8180" width="6.625" style="24" bestFit="1" customWidth="1"/>
    <col min="8181" max="8181" width="9.625" style="24" bestFit="1" customWidth="1"/>
    <col min="8182" max="8182" width="7.5" style="24" bestFit="1" customWidth="1"/>
    <col min="8183" max="8183" width="9.625" style="24" bestFit="1" customWidth="1"/>
    <col min="8184" max="8184" width="5.75" style="24" bestFit="1" customWidth="1"/>
    <col min="8185" max="8185" width="8.375" style="24" bestFit="1" customWidth="1"/>
    <col min="8186" max="8186" width="4.75" style="24" bestFit="1" customWidth="1"/>
    <col min="8187" max="8187" width="9.5" style="24" customWidth="1"/>
    <col min="8188" max="8190" width="9" style="24" customWidth="1"/>
    <col min="8191" max="8191" width="6.75" style="24" bestFit="1" customWidth="1"/>
    <col min="8192" max="8192" width="14.25" style="24" customWidth="1"/>
    <col min="8193" max="8196" width="9.625" style="24" bestFit="1" customWidth="1"/>
    <col min="8197" max="8197" width="8.375" style="24" bestFit="1" customWidth="1"/>
    <col min="8198" max="8198" width="11.875" style="24" bestFit="1" customWidth="1"/>
    <col min="8199" max="8200" width="9.625" style="24" bestFit="1" customWidth="1"/>
    <col min="8201" max="8201" width="16.25" style="24" bestFit="1" customWidth="1"/>
    <col min="8202" max="8202" width="15.375" style="24" bestFit="1" customWidth="1"/>
    <col min="8203" max="8203" width="17.125" style="24" customWidth="1"/>
    <col min="8204" max="8204" width="8.375" style="24" bestFit="1" customWidth="1"/>
    <col min="8205" max="8205" width="9.25" style="24" bestFit="1" customWidth="1"/>
    <col min="8206" max="8206" width="8" style="24" bestFit="1" customWidth="1"/>
    <col min="8207" max="8421" width="9" style="24"/>
    <col min="8422" max="8422" width="5.25" style="24" bestFit="1" customWidth="1"/>
    <col min="8423" max="8423" width="8" style="24" bestFit="1" customWidth="1"/>
    <col min="8424" max="8424" width="6.625" style="24" bestFit="1" customWidth="1"/>
    <col min="8425" max="8425" width="7.25" style="24" customWidth="1"/>
    <col min="8426" max="8427" width="9.625" style="24" bestFit="1" customWidth="1"/>
    <col min="8428" max="8428" width="6.25" style="24" bestFit="1" customWidth="1"/>
    <col min="8429" max="8429" width="9.625" style="24" bestFit="1" customWidth="1"/>
    <col min="8430" max="8433" width="9" style="24" customWidth="1"/>
    <col min="8434" max="8434" width="6.625" style="24" bestFit="1" customWidth="1"/>
    <col min="8435" max="8435" width="9.625" style="24" bestFit="1" customWidth="1"/>
    <col min="8436" max="8436" width="6.625" style="24" bestFit="1" customWidth="1"/>
    <col min="8437" max="8437" width="9.625" style="24" bestFit="1" customWidth="1"/>
    <col min="8438" max="8438" width="7.5" style="24" bestFit="1" customWidth="1"/>
    <col min="8439" max="8439" width="9.625" style="24" bestFit="1" customWidth="1"/>
    <col min="8440" max="8440" width="5.75" style="24" bestFit="1" customWidth="1"/>
    <col min="8441" max="8441" width="8.375" style="24" bestFit="1" customWidth="1"/>
    <col min="8442" max="8442" width="4.75" style="24" bestFit="1" customWidth="1"/>
    <col min="8443" max="8443" width="9.5" style="24" customWidth="1"/>
    <col min="8444" max="8446" width="9" style="24" customWidth="1"/>
    <col min="8447" max="8447" width="6.75" style="24" bestFit="1" customWidth="1"/>
    <col min="8448" max="8448" width="14.25" style="24" customWidth="1"/>
    <col min="8449" max="8452" width="9.625" style="24" bestFit="1" customWidth="1"/>
    <col min="8453" max="8453" width="8.375" style="24" bestFit="1" customWidth="1"/>
    <col min="8454" max="8454" width="11.875" style="24" bestFit="1" customWidth="1"/>
    <col min="8455" max="8456" width="9.625" style="24" bestFit="1" customWidth="1"/>
    <col min="8457" max="8457" width="16.25" style="24" bestFit="1" customWidth="1"/>
    <col min="8458" max="8458" width="15.375" style="24" bestFit="1" customWidth="1"/>
    <col min="8459" max="8459" width="17.125" style="24" customWidth="1"/>
    <col min="8460" max="8460" width="8.375" style="24" bestFit="1" customWidth="1"/>
    <col min="8461" max="8461" width="9.25" style="24" bestFit="1" customWidth="1"/>
    <col min="8462" max="8462" width="8" style="24" bestFit="1" customWidth="1"/>
    <col min="8463" max="8677" width="9" style="24"/>
    <col min="8678" max="8678" width="5.25" style="24" bestFit="1" customWidth="1"/>
    <col min="8679" max="8679" width="8" style="24" bestFit="1" customWidth="1"/>
    <col min="8680" max="8680" width="6.625" style="24" bestFit="1" customWidth="1"/>
    <col min="8681" max="8681" width="7.25" style="24" customWidth="1"/>
    <col min="8682" max="8683" width="9.625" style="24" bestFit="1" customWidth="1"/>
    <col min="8684" max="8684" width="6.25" style="24" bestFit="1" customWidth="1"/>
    <col min="8685" max="8685" width="9.625" style="24" bestFit="1" customWidth="1"/>
    <col min="8686" max="8689" width="9" style="24" customWidth="1"/>
    <col min="8690" max="8690" width="6.625" style="24" bestFit="1" customWidth="1"/>
    <col min="8691" max="8691" width="9.625" style="24" bestFit="1" customWidth="1"/>
    <col min="8692" max="8692" width="6.625" style="24" bestFit="1" customWidth="1"/>
    <col min="8693" max="8693" width="9.625" style="24" bestFit="1" customWidth="1"/>
    <col min="8694" max="8694" width="7.5" style="24" bestFit="1" customWidth="1"/>
    <col min="8695" max="8695" width="9.625" style="24" bestFit="1" customWidth="1"/>
    <col min="8696" max="8696" width="5.75" style="24" bestFit="1" customWidth="1"/>
    <col min="8697" max="8697" width="8.375" style="24" bestFit="1" customWidth="1"/>
    <col min="8698" max="8698" width="4.75" style="24" bestFit="1" customWidth="1"/>
    <col min="8699" max="8699" width="9.5" style="24" customWidth="1"/>
    <col min="8700" max="8702" width="9" style="24" customWidth="1"/>
    <col min="8703" max="8703" width="6.75" style="24" bestFit="1" customWidth="1"/>
    <col min="8704" max="8704" width="14.25" style="24" customWidth="1"/>
    <col min="8705" max="8708" width="9.625" style="24" bestFit="1" customWidth="1"/>
    <col min="8709" max="8709" width="8.375" style="24" bestFit="1" customWidth="1"/>
    <col min="8710" max="8710" width="11.875" style="24" bestFit="1" customWidth="1"/>
    <col min="8711" max="8712" width="9.625" style="24" bestFit="1" customWidth="1"/>
    <col min="8713" max="8713" width="16.25" style="24" bestFit="1" customWidth="1"/>
    <col min="8714" max="8714" width="15.375" style="24" bestFit="1" customWidth="1"/>
    <col min="8715" max="8715" width="17.125" style="24" customWidth="1"/>
    <col min="8716" max="8716" width="8.375" style="24" bestFit="1" customWidth="1"/>
    <col min="8717" max="8717" width="9.25" style="24" bestFit="1" customWidth="1"/>
    <col min="8718" max="8718" width="8" style="24" bestFit="1" customWidth="1"/>
    <col min="8719" max="8933" width="9" style="24"/>
    <col min="8934" max="8934" width="5.25" style="24" bestFit="1" customWidth="1"/>
    <col min="8935" max="8935" width="8" style="24" bestFit="1" customWidth="1"/>
    <col min="8936" max="8936" width="6.625" style="24" bestFit="1" customWidth="1"/>
    <col min="8937" max="8937" width="7.25" style="24" customWidth="1"/>
    <col min="8938" max="8939" width="9.625" style="24" bestFit="1" customWidth="1"/>
    <col min="8940" max="8940" width="6.25" style="24" bestFit="1" customWidth="1"/>
    <col min="8941" max="8941" width="9.625" style="24" bestFit="1" customWidth="1"/>
    <col min="8942" max="8945" width="9" style="24" customWidth="1"/>
    <col min="8946" max="8946" width="6.625" style="24" bestFit="1" customWidth="1"/>
    <col min="8947" max="8947" width="9.625" style="24" bestFit="1" customWidth="1"/>
    <col min="8948" max="8948" width="6.625" style="24" bestFit="1" customWidth="1"/>
    <col min="8949" max="8949" width="9.625" style="24" bestFit="1" customWidth="1"/>
    <col min="8950" max="8950" width="7.5" style="24" bestFit="1" customWidth="1"/>
    <col min="8951" max="8951" width="9.625" style="24" bestFit="1" customWidth="1"/>
    <col min="8952" max="8952" width="5.75" style="24" bestFit="1" customWidth="1"/>
    <col min="8953" max="8953" width="8.375" style="24" bestFit="1" customWidth="1"/>
    <col min="8954" max="8954" width="4.75" style="24" bestFit="1" customWidth="1"/>
    <col min="8955" max="8955" width="9.5" style="24" customWidth="1"/>
    <col min="8956" max="8958" width="9" style="24" customWidth="1"/>
    <col min="8959" max="8959" width="6.75" style="24" bestFit="1" customWidth="1"/>
    <col min="8960" max="8960" width="14.25" style="24" customWidth="1"/>
    <col min="8961" max="8964" width="9.625" style="24" bestFit="1" customWidth="1"/>
    <col min="8965" max="8965" width="8.375" style="24" bestFit="1" customWidth="1"/>
    <col min="8966" max="8966" width="11.875" style="24" bestFit="1" customWidth="1"/>
    <col min="8967" max="8968" width="9.625" style="24" bestFit="1" customWidth="1"/>
    <col min="8969" max="8969" width="16.25" style="24" bestFit="1" customWidth="1"/>
    <col min="8970" max="8970" width="15.375" style="24" bestFit="1" customWidth="1"/>
    <col min="8971" max="8971" width="17.125" style="24" customWidth="1"/>
    <col min="8972" max="8972" width="8.375" style="24" bestFit="1" customWidth="1"/>
    <col min="8973" max="8973" width="9.25" style="24" bestFit="1" customWidth="1"/>
    <col min="8974" max="8974" width="8" style="24" bestFit="1" customWidth="1"/>
    <col min="8975" max="9189" width="9" style="24"/>
    <col min="9190" max="9190" width="5.25" style="24" bestFit="1" customWidth="1"/>
    <col min="9191" max="9191" width="8" style="24" bestFit="1" customWidth="1"/>
    <col min="9192" max="9192" width="6.625" style="24" bestFit="1" customWidth="1"/>
    <col min="9193" max="9193" width="7.25" style="24" customWidth="1"/>
    <col min="9194" max="9195" width="9.625" style="24" bestFit="1" customWidth="1"/>
    <col min="9196" max="9196" width="6.25" style="24" bestFit="1" customWidth="1"/>
    <col min="9197" max="9197" width="9.625" style="24" bestFit="1" customWidth="1"/>
    <col min="9198" max="9201" width="9" style="24" customWidth="1"/>
    <col min="9202" max="9202" width="6.625" style="24" bestFit="1" customWidth="1"/>
    <col min="9203" max="9203" width="9.625" style="24" bestFit="1" customWidth="1"/>
    <col min="9204" max="9204" width="6.625" style="24" bestFit="1" customWidth="1"/>
    <col min="9205" max="9205" width="9.625" style="24" bestFit="1" customWidth="1"/>
    <col min="9206" max="9206" width="7.5" style="24" bestFit="1" customWidth="1"/>
    <col min="9207" max="9207" width="9.625" style="24" bestFit="1" customWidth="1"/>
    <col min="9208" max="9208" width="5.75" style="24" bestFit="1" customWidth="1"/>
    <col min="9209" max="9209" width="8.375" style="24" bestFit="1" customWidth="1"/>
    <col min="9210" max="9210" width="4.75" style="24" bestFit="1" customWidth="1"/>
    <col min="9211" max="9211" width="9.5" style="24" customWidth="1"/>
    <col min="9212" max="9214" width="9" style="24" customWidth="1"/>
    <col min="9215" max="9215" width="6.75" style="24" bestFit="1" customWidth="1"/>
    <col min="9216" max="9216" width="14.25" style="24" customWidth="1"/>
    <col min="9217" max="9220" width="9.625" style="24" bestFit="1" customWidth="1"/>
    <col min="9221" max="9221" width="8.375" style="24" bestFit="1" customWidth="1"/>
    <col min="9222" max="9222" width="11.875" style="24" bestFit="1" customWidth="1"/>
    <col min="9223" max="9224" width="9.625" style="24" bestFit="1" customWidth="1"/>
    <col min="9225" max="9225" width="16.25" style="24" bestFit="1" customWidth="1"/>
    <col min="9226" max="9226" width="15.375" style="24" bestFit="1" customWidth="1"/>
    <col min="9227" max="9227" width="17.125" style="24" customWidth="1"/>
    <col min="9228" max="9228" width="8.375" style="24" bestFit="1" customWidth="1"/>
    <col min="9229" max="9229" width="9.25" style="24" bestFit="1" customWidth="1"/>
    <col min="9230" max="9230" width="8" style="24" bestFit="1" customWidth="1"/>
    <col min="9231" max="9445" width="9" style="24"/>
    <col min="9446" max="9446" width="5.25" style="24" bestFit="1" customWidth="1"/>
    <col min="9447" max="9447" width="8" style="24" bestFit="1" customWidth="1"/>
    <col min="9448" max="9448" width="6.625" style="24" bestFit="1" customWidth="1"/>
    <col min="9449" max="9449" width="7.25" style="24" customWidth="1"/>
    <col min="9450" max="9451" width="9.625" style="24" bestFit="1" customWidth="1"/>
    <col min="9452" max="9452" width="6.25" style="24" bestFit="1" customWidth="1"/>
    <col min="9453" max="9453" width="9.625" style="24" bestFit="1" customWidth="1"/>
    <col min="9454" max="9457" width="9" style="24" customWidth="1"/>
    <col min="9458" max="9458" width="6.625" style="24" bestFit="1" customWidth="1"/>
    <col min="9459" max="9459" width="9.625" style="24" bestFit="1" customWidth="1"/>
    <col min="9460" max="9460" width="6.625" style="24" bestFit="1" customWidth="1"/>
    <col min="9461" max="9461" width="9.625" style="24" bestFit="1" customWidth="1"/>
    <col min="9462" max="9462" width="7.5" style="24" bestFit="1" customWidth="1"/>
    <col min="9463" max="9463" width="9.625" style="24" bestFit="1" customWidth="1"/>
    <col min="9464" max="9464" width="5.75" style="24" bestFit="1" customWidth="1"/>
    <col min="9465" max="9465" width="8.375" style="24" bestFit="1" customWidth="1"/>
    <col min="9466" max="9466" width="4.75" style="24" bestFit="1" customWidth="1"/>
    <col min="9467" max="9467" width="9.5" style="24" customWidth="1"/>
    <col min="9468" max="9470" width="9" style="24" customWidth="1"/>
    <col min="9471" max="9471" width="6.75" style="24" bestFit="1" customWidth="1"/>
    <col min="9472" max="9472" width="14.25" style="24" customWidth="1"/>
    <col min="9473" max="9476" width="9.625" style="24" bestFit="1" customWidth="1"/>
    <col min="9477" max="9477" width="8.375" style="24" bestFit="1" customWidth="1"/>
    <col min="9478" max="9478" width="11.875" style="24" bestFit="1" customWidth="1"/>
    <col min="9479" max="9480" width="9.625" style="24" bestFit="1" customWidth="1"/>
    <col min="9481" max="9481" width="16.25" style="24" bestFit="1" customWidth="1"/>
    <col min="9482" max="9482" width="15.375" style="24" bestFit="1" customWidth="1"/>
    <col min="9483" max="9483" width="17.125" style="24" customWidth="1"/>
    <col min="9484" max="9484" width="8.375" style="24" bestFit="1" customWidth="1"/>
    <col min="9485" max="9485" width="9.25" style="24" bestFit="1" customWidth="1"/>
    <col min="9486" max="9486" width="8" style="24" bestFit="1" customWidth="1"/>
    <col min="9487" max="9701" width="9" style="24"/>
    <col min="9702" max="9702" width="5.25" style="24" bestFit="1" customWidth="1"/>
    <col min="9703" max="9703" width="8" style="24" bestFit="1" customWidth="1"/>
    <col min="9704" max="9704" width="6.625" style="24" bestFit="1" customWidth="1"/>
    <col min="9705" max="9705" width="7.25" style="24" customWidth="1"/>
    <col min="9706" max="9707" width="9.625" style="24" bestFit="1" customWidth="1"/>
    <col min="9708" max="9708" width="6.25" style="24" bestFit="1" customWidth="1"/>
    <col min="9709" max="9709" width="9.625" style="24" bestFit="1" customWidth="1"/>
    <col min="9710" max="9713" width="9" style="24" customWidth="1"/>
    <col min="9714" max="9714" width="6.625" style="24" bestFit="1" customWidth="1"/>
    <col min="9715" max="9715" width="9.625" style="24" bestFit="1" customWidth="1"/>
    <col min="9716" max="9716" width="6.625" style="24" bestFit="1" customWidth="1"/>
    <col min="9717" max="9717" width="9.625" style="24" bestFit="1" customWidth="1"/>
    <col min="9718" max="9718" width="7.5" style="24" bestFit="1" customWidth="1"/>
    <col min="9719" max="9719" width="9.625" style="24" bestFit="1" customWidth="1"/>
    <col min="9720" max="9720" width="5.75" style="24" bestFit="1" customWidth="1"/>
    <col min="9721" max="9721" width="8.375" style="24" bestFit="1" customWidth="1"/>
    <col min="9722" max="9722" width="4.75" style="24" bestFit="1" customWidth="1"/>
    <col min="9723" max="9723" width="9.5" style="24" customWidth="1"/>
    <col min="9724" max="9726" width="9" style="24" customWidth="1"/>
    <col min="9727" max="9727" width="6.75" style="24" bestFit="1" customWidth="1"/>
    <col min="9728" max="9728" width="14.25" style="24" customWidth="1"/>
    <col min="9729" max="9732" width="9.625" style="24" bestFit="1" customWidth="1"/>
    <col min="9733" max="9733" width="8.375" style="24" bestFit="1" customWidth="1"/>
    <col min="9734" max="9734" width="11.875" style="24" bestFit="1" customWidth="1"/>
    <col min="9735" max="9736" width="9.625" style="24" bestFit="1" customWidth="1"/>
    <col min="9737" max="9737" width="16.25" style="24" bestFit="1" customWidth="1"/>
    <col min="9738" max="9738" width="15.375" style="24" bestFit="1" customWidth="1"/>
    <col min="9739" max="9739" width="17.125" style="24" customWidth="1"/>
    <col min="9740" max="9740" width="8.375" style="24" bestFit="1" customWidth="1"/>
    <col min="9741" max="9741" width="9.25" style="24" bestFit="1" customWidth="1"/>
    <col min="9742" max="9742" width="8" style="24" bestFit="1" customWidth="1"/>
    <col min="9743" max="9957" width="9" style="24"/>
    <col min="9958" max="9958" width="5.25" style="24" bestFit="1" customWidth="1"/>
    <col min="9959" max="9959" width="8" style="24" bestFit="1" customWidth="1"/>
    <col min="9960" max="9960" width="6.625" style="24" bestFit="1" customWidth="1"/>
    <col min="9961" max="9961" width="7.25" style="24" customWidth="1"/>
    <col min="9962" max="9963" width="9.625" style="24" bestFit="1" customWidth="1"/>
    <col min="9964" max="9964" width="6.25" style="24" bestFit="1" customWidth="1"/>
    <col min="9965" max="9965" width="9.625" style="24" bestFit="1" customWidth="1"/>
    <col min="9966" max="9969" width="9" style="24" customWidth="1"/>
    <col min="9970" max="9970" width="6.625" style="24" bestFit="1" customWidth="1"/>
    <col min="9971" max="9971" width="9.625" style="24" bestFit="1" customWidth="1"/>
    <col min="9972" max="9972" width="6.625" style="24" bestFit="1" customWidth="1"/>
    <col min="9973" max="9973" width="9.625" style="24" bestFit="1" customWidth="1"/>
    <col min="9974" max="9974" width="7.5" style="24" bestFit="1" customWidth="1"/>
    <col min="9975" max="9975" width="9.625" style="24" bestFit="1" customWidth="1"/>
    <col min="9976" max="9976" width="5.75" style="24" bestFit="1" customWidth="1"/>
    <col min="9977" max="9977" width="8.375" style="24" bestFit="1" customWidth="1"/>
    <col min="9978" max="9978" width="4.75" style="24" bestFit="1" customWidth="1"/>
    <col min="9979" max="9979" width="9.5" style="24" customWidth="1"/>
    <col min="9980" max="9982" width="9" style="24" customWidth="1"/>
    <col min="9983" max="9983" width="6.75" style="24" bestFit="1" customWidth="1"/>
    <col min="9984" max="9984" width="14.25" style="24" customWidth="1"/>
    <col min="9985" max="9988" width="9.625" style="24" bestFit="1" customWidth="1"/>
    <col min="9989" max="9989" width="8.375" style="24" bestFit="1" customWidth="1"/>
    <col min="9990" max="9990" width="11.875" style="24" bestFit="1" customWidth="1"/>
    <col min="9991" max="9992" width="9.625" style="24" bestFit="1" customWidth="1"/>
    <col min="9993" max="9993" width="16.25" style="24" bestFit="1" customWidth="1"/>
    <col min="9994" max="9994" width="15.375" style="24" bestFit="1" customWidth="1"/>
    <col min="9995" max="9995" width="17.125" style="24" customWidth="1"/>
    <col min="9996" max="9996" width="8.375" style="24" bestFit="1" customWidth="1"/>
    <col min="9997" max="9997" width="9.25" style="24" bestFit="1" customWidth="1"/>
    <col min="9998" max="9998" width="8" style="24" bestFit="1" customWidth="1"/>
    <col min="9999" max="10213" width="9" style="24"/>
    <col min="10214" max="10214" width="5.25" style="24" bestFit="1" customWidth="1"/>
    <col min="10215" max="10215" width="8" style="24" bestFit="1" customWidth="1"/>
    <col min="10216" max="10216" width="6.625" style="24" bestFit="1" customWidth="1"/>
    <col min="10217" max="10217" width="7.25" style="24" customWidth="1"/>
    <col min="10218" max="10219" width="9.625" style="24" bestFit="1" customWidth="1"/>
    <col min="10220" max="10220" width="6.25" style="24" bestFit="1" customWidth="1"/>
    <col min="10221" max="10221" width="9.625" style="24" bestFit="1" customWidth="1"/>
    <col min="10222" max="10225" width="9" style="24" customWidth="1"/>
    <col min="10226" max="10226" width="6.625" style="24" bestFit="1" customWidth="1"/>
    <col min="10227" max="10227" width="9.625" style="24" bestFit="1" customWidth="1"/>
    <col min="10228" max="10228" width="6.625" style="24" bestFit="1" customWidth="1"/>
    <col min="10229" max="10229" width="9.625" style="24" bestFit="1" customWidth="1"/>
    <col min="10230" max="10230" width="7.5" style="24" bestFit="1" customWidth="1"/>
    <col min="10231" max="10231" width="9.625" style="24" bestFit="1" customWidth="1"/>
    <col min="10232" max="10232" width="5.75" style="24" bestFit="1" customWidth="1"/>
    <col min="10233" max="10233" width="8.375" style="24" bestFit="1" customWidth="1"/>
    <col min="10234" max="10234" width="4.75" style="24" bestFit="1" customWidth="1"/>
    <col min="10235" max="10235" width="9.5" style="24" customWidth="1"/>
    <col min="10236" max="10238" width="9" style="24" customWidth="1"/>
    <col min="10239" max="10239" width="6.75" style="24" bestFit="1" customWidth="1"/>
    <col min="10240" max="10240" width="14.25" style="24" customWidth="1"/>
    <col min="10241" max="10244" width="9.625" style="24" bestFit="1" customWidth="1"/>
    <col min="10245" max="10245" width="8.375" style="24" bestFit="1" customWidth="1"/>
    <col min="10246" max="10246" width="11.875" style="24" bestFit="1" customWidth="1"/>
    <col min="10247" max="10248" width="9.625" style="24" bestFit="1" customWidth="1"/>
    <col min="10249" max="10249" width="16.25" style="24" bestFit="1" customWidth="1"/>
    <col min="10250" max="10250" width="15.375" style="24" bestFit="1" customWidth="1"/>
    <col min="10251" max="10251" width="17.125" style="24" customWidth="1"/>
    <col min="10252" max="10252" width="8.375" style="24" bestFit="1" customWidth="1"/>
    <col min="10253" max="10253" width="9.25" style="24" bestFit="1" customWidth="1"/>
    <col min="10254" max="10254" width="8" style="24" bestFit="1" customWidth="1"/>
    <col min="10255" max="10469" width="9" style="24"/>
    <col min="10470" max="10470" width="5.25" style="24" bestFit="1" customWidth="1"/>
    <col min="10471" max="10471" width="8" style="24" bestFit="1" customWidth="1"/>
    <col min="10472" max="10472" width="6.625" style="24" bestFit="1" customWidth="1"/>
    <col min="10473" max="10473" width="7.25" style="24" customWidth="1"/>
    <col min="10474" max="10475" width="9.625" style="24" bestFit="1" customWidth="1"/>
    <col min="10476" max="10476" width="6.25" style="24" bestFit="1" customWidth="1"/>
    <col min="10477" max="10477" width="9.625" style="24" bestFit="1" customWidth="1"/>
    <col min="10478" max="10481" width="9" style="24" customWidth="1"/>
    <col min="10482" max="10482" width="6.625" style="24" bestFit="1" customWidth="1"/>
    <col min="10483" max="10483" width="9.625" style="24" bestFit="1" customWidth="1"/>
    <col min="10484" max="10484" width="6.625" style="24" bestFit="1" customWidth="1"/>
    <col min="10485" max="10485" width="9.625" style="24" bestFit="1" customWidth="1"/>
    <col min="10486" max="10486" width="7.5" style="24" bestFit="1" customWidth="1"/>
    <col min="10487" max="10487" width="9.625" style="24" bestFit="1" customWidth="1"/>
    <col min="10488" max="10488" width="5.75" style="24" bestFit="1" customWidth="1"/>
    <col min="10489" max="10489" width="8.375" style="24" bestFit="1" customWidth="1"/>
    <col min="10490" max="10490" width="4.75" style="24" bestFit="1" customWidth="1"/>
    <col min="10491" max="10491" width="9.5" style="24" customWidth="1"/>
    <col min="10492" max="10494" width="9" style="24" customWidth="1"/>
    <col min="10495" max="10495" width="6.75" style="24" bestFit="1" customWidth="1"/>
    <col min="10496" max="10496" width="14.25" style="24" customWidth="1"/>
    <col min="10497" max="10500" width="9.625" style="24" bestFit="1" customWidth="1"/>
    <col min="10501" max="10501" width="8.375" style="24" bestFit="1" customWidth="1"/>
    <col min="10502" max="10502" width="11.875" style="24" bestFit="1" customWidth="1"/>
    <col min="10503" max="10504" width="9.625" style="24" bestFit="1" customWidth="1"/>
    <col min="10505" max="10505" width="16.25" style="24" bestFit="1" customWidth="1"/>
    <col min="10506" max="10506" width="15.375" style="24" bestFit="1" customWidth="1"/>
    <col min="10507" max="10507" width="17.125" style="24" customWidth="1"/>
    <col min="10508" max="10508" width="8.375" style="24" bestFit="1" customWidth="1"/>
    <col min="10509" max="10509" width="9.25" style="24" bestFit="1" customWidth="1"/>
    <col min="10510" max="10510" width="8" style="24" bestFit="1" customWidth="1"/>
    <col min="10511" max="10725" width="9" style="24"/>
    <col min="10726" max="10726" width="5.25" style="24" bestFit="1" customWidth="1"/>
    <col min="10727" max="10727" width="8" style="24" bestFit="1" customWidth="1"/>
    <col min="10728" max="10728" width="6.625" style="24" bestFit="1" customWidth="1"/>
    <col min="10729" max="10729" width="7.25" style="24" customWidth="1"/>
    <col min="10730" max="10731" width="9.625" style="24" bestFit="1" customWidth="1"/>
    <col min="10732" max="10732" width="6.25" style="24" bestFit="1" customWidth="1"/>
    <col min="10733" max="10733" width="9.625" style="24" bestFit="1" customWidth="1"/>
    <col min="10734" max="10737" width="9" style="24" customWidth="1"/>
    <col min="10738" max="10738" width="6.625" style="24" bestFit="1" customWidth="1"/>
    <col min="10739" max="10739" width="9.625" style="24" bestFit="1" customWidth="1"/>
    <col min="10740" max="10740" width="6.625" style="24" bestFit="1" customWidth="1"/>
    <col min="10741" max="10741" width="9.625" style="24" bestFit="1" customWidth="1"/>
    <col min="10742" max="10742" width="7.5" style="24" bestFit="1" customWidth="1"/>
    <col min="10743" max="10743" width="9.625" style="24" bestFit="1" customWidth="1"/>
    <col min="10744" max="10744" width="5.75" style="24" bestFit="1" customWidth="1"/>
    <col min="10745" max="10745" width="8.375" style="24" bestFit="1" customWidth="1"/>
    <col min="10746" max="10746" width="4.75" style="24" bestFit="1" customWidth="1"/>
    <col min="10747" max="10747" width="9.5" style="24" customWidth="1"/>
    <col min="10748" max="10750" width="9" style="24" customWidth="1"/>
    <col min="10751" max="10751" width="6.75" style="24" bestFit="1" customWidth="1"/>
    <col min="10752" max="10752" width="14.25" style="24" customWidth="1"/>
    <col min="10753" max="10756" width="9.625" style="24" bestFit="1" customWidth="1"/>
    <col min="10757" max="10757" width="8.375" style="24" bestFit="1" customWidth="1"/>
    <col min="10758" max="10758" width="11.875" style="24" bestFit="1" customWidth="1"/>
    <col min="10759" max="10760" width="9.625" style="24" bestFit="1" customWidth="1"/>
    <col min="10761" max="10761" width="16.25" style="24" bestFit="1" customWidth="1"/>
    <col min="10762" max="10762" width="15.375" style="24" bestFit="1" customWidth="1"/>
    <col min="10763" max="10763" width="17.125" style="24" customWidth="1"/>
    <col min="10764" max="10764" width="8.375" style="24" bestFit="1" customWidth="1"/>
    <col min="10765" max="10765" width="9.25" style="24" bestFit="1" customWidth="1"/>
    <col min="10766" max="10766" width="8" style="24" bestFit="1" customWidth="1"/>
    <col min="10767" max="10981" width="9" style="24"/>
    <col min="10982" max="10982" width="5.25" style="24" bestFit="1" customWidth="1"/>
    <col min="10983" max="10983" width="8" style="24" bestFit="1" customWidth="1"/>
    <col min="10984" max="10984" width="6.625" style="24" bestFit="1" customWidth="1"/>
    <col min="10985" max="10985" width="7.25" style="24" customWidth="1"/>
    <col min="10986" max="10987" width="9.625" style="24" bestFit="1" customWidth="1"/>
    <col min="10988" max="10988" width="6.25" style="24" bestFit="1" customWidth="1"/>
    <col min="10989" max="10989" width="9.625" style="24" bestFit="1" customWidth="1"/>
    <col min="10990" max="10993" width="9" style="24" customWidth="1"/>
    <col min="10994" max="10994" width="6.625" style="24" bestFit="1" customWidth="1"/>
    <col min="10995" max="10995" width="9.625" style="24" bestFit="1" customWidth="1"/>
    <col min="10996" max="10996" width="6.625" style="24" bestFit="1" customWidth="1"/>
    <col min="10997" max="10997" width="9.625" style="24" bestFit="1" customWidth="1"/>
    <col min="10998" max="10998" width="7.5" style="24" bestFit="1" customWidth="1"/>
    <col min="10999" max="10999" width="9.625" style="24" bestFit="1" customWidth="1"/>
    <col min="11000" max="11000" width="5.75" style="24" bestFit="1" customWidth="1"/>
    <col min="11001" max="11001" width="8.375" style="24" bestFit="1" customWidth="1"/>
    <col min="11002" max="11002" width="4.75" style="24" bestFit="1" customWidth="1"/>
    <col min="11003" max="11003" width="9.5" style="24" customWidth="1"/>
    <col min="11004" max="11006" width="9" style="24" customWidth="1"/>
    <col min="11007" max="11007" width="6.75" style="24" bestFit="1" customWidth="1"/>
    <col min="11008" max="11008" width="14.25" style="24" customWidth="1"/>
    <col min="11009" max="11012" width="9.625" style="24" bestFit="1" customWidth="1"/>
    <col min="11013" max="11013" width="8.375" style="24" bestFit="1" customWidth="1"/>
    <col min="11014" max="11014" width="11.875" style="24" bestFit="1" customWidth="1"/>
    <col min="11015" max="11016" width="9.625" style="24" bestFit="1" customWidth="1"/>
    <col min="11017" max="11017" width="16.25" style="24" bestFit="1" customWidth="1"/>
    <col min="11018" max="11018" width="15.375" style="24" bestFit="1" customWidth="1"/>
    <col min="11019" max="11019" width="17.125" style="24" customWidth="1"/>
    <col min="11020" max="11020" width="8.375" style="24" bestFit="1" customWidth="1"/>
    <col min="11021" max="11021" width="9.25" style="24" bestFit="1" customWidth="1"/>
    <col min="11022" max="11022" width="8" style="24" bestFit="1" customWidth="1"/>
    <col min="11023" max="11237" width="9" style="24"/>
    <col min="11238" max="11238" width="5.25" style="24" bestFit="1" customWidth="1"/>
    <col min="11239" max="11239" width="8" style="24" bestFit="1" customWidth="1"/>
    <col min="11240" max="11240" width="6.625" style="24" bestFit="1" customWidth="1"/>
    <col min="11241" max="11241" width="7.25" style="24" customWidth="1"/>
    <col min="11242" max="11243" width="9.625" style="24" bestFit="1" customWidth="1"/>
    <col min="11244" max="11244" width="6.25" style="24" bestFit="1" customWidth="1"/>
    <col min="11245" max="11245" width="9.625" style="24" bestFit="1" customWidth="1"/>
    <col min="11246" max="11249" width="9" style="24" customWidth="1"/>
    <col min="11250" max="11250" width="6.625" style="24" bestFit="1" customWidth="1"/>
    <col min="11251" max="11251" width="9.625" style="24" bestFit="1" customWidth="1"/>
    <col min="11252" max="11252" width="6.625" style="24" bestFit="1" customWidth="1"/>
    <col min="11253" max="11253" width="9.625" style="24" bestFit="1" customWidth="1"/>
    <col min="11254" max="11254" width="7.5" style="24" bestFit="1" customWidth="1"/>
    <col min="11255" max="11255" width="9.625" style="24" bestFit="1" customWidth="1"/>
    <col min="11256" max="11256" width="5.75" style="24" bestFit="1" customWidth="1"/>
    <col min="11257" max="11257" width="8.375" style="24" bestFit="1" customWidth="1"/>
    <col min="11258" max="11258" width="4.75" style="24" bestFit="1" customWidth="1"/>
    <col min="11259" max="11259" width="9.5" style="24" customWidth="1"/>
    <col min="11260" max="11262" width="9" style="24" customWidth="1"/>
    <col min="11263" max="11263" width="6.75" style="24" bestFit="1" customWidth="1"/>
    <col min="11264" max="11264" width="14.25" style="24" customWidth="1"/>
    <col min="11265" max="11268" width="9.625" style="24" bestFit="1" customWidth="1"/>
    <col min="11269" max="11269" width="8.375" style="24" bestFit="1" customWidth="1"/>
    <col min="11270" max="11270" width="11.875" style="24" bestFit="1" customWidth="1"/>
    <col min="11271" max="11272" width="9.625" style="24" bestFit="1" customWidth="1"/>
    <col min="11273" max="11273" width="16.25" style="24" bestFit="1" customWidth="1"/>
    <col min="11274" max="11274" width="15.375" style="24" bestFit="1" customWidth="1"/>
    <col min="11275" max="11275" width="17.125" style="24" customWidth="1"/>
    <col min="11276" max="11276" width="8.375" style="24" bestFit="1" customWidth="1"/>
    <col min="11277" max="11277" width="9.25" style="24" bestFit="1" customWidth="1"/>
    <col min="11278" max="11278" width="8" style="24" bestFit="1" customWidth="1"/>
    <col min="11279" max="11493" width="9" style="24"/>
    <col min="11494" max="11494" width="5.25" style="24" bestFit="1" customWidth="1"/>
    <col min="11495" max="11495" width="8" style="24" bestFit="1" customWidth="1"/>
    <col min="11496" max="11496" width="6.625" style="24" bestFit="1" customWidth="1"/>
    <col min="11497" max="11497" width="7.25" style="24" customWidth="1"/>
    <col min="11498" max="11499" width="9.625" style="24" bestFit="1" customWidth="1"/>
    <col min="11500" max="11500" width="6.25" style="24" bestFit="1" customWidth="1"/>
    <col min="11501" max="11501" width="9.625" style="24" bestFit="1" customWidth="1"/>
    <col min="11502" max="11505" width="9" style="24" customWidth="1"/>
    <col min="11506" max="11506" width="6.625" style="24" bestFit="1" customWidth="1"/>
    <col min="11507" max="11507" width="9.625" style="24" bestFit="1" customWidth="1"/>
    <col min="11508" max="11508" width="6.625" style="24" bestFit="1" customWidth="1"/>
    <col min="11509" max="11509" width="9.625" style="24" bestFit="1" customWidth="1"/>
    <col min="11510" max="11510" width="7.5" style="24" bestFit="1" customWidth="1"/>
    <col min="11511" max="11511" width="9.625" style="24" bestFit="1" customWidth="1"/>
    <col min="11512" max="11512" width="5.75" style="24" bestFit="1" customWidth="1"/>
    <col min="11513" max="11513" width="8.375" style="24" bestFit="1" customWidth="1"/>
    <col min="11514" max="11514" width="4.75" style="24" bestFit="1" customWidth="1"/>
    <col min="11515" max="11515" width="9.5" style="24" customWidth="1"/>
    <col min="11516" max="11518" width="9" style="24" customWidth="1"/>
    <col min="11519" max="11519" width="6.75" style="24" bestFit="1" customWidth="1"/>
    <col min="11520" max="11520" width="14.25" style="24" customWidth="1"/>
    <col min="11521" max="11524" width="9.625" style="24" bestFit="1" customWidth="1"/>
    <col min="11525" max="11525" width="8.375" style="24" bestFit="1" customWidth="1"/>
    <col min="11526" max="11526" width="11.875" style="24" bestFit="1" customWidth="1"/>
    <col min="11527" max="11528" width="9.625" style="24" bestFit="1" customWidth="1"/>
    <col min="11529" max="11529" width="16.25" style="24" bestFit="1" customWidth="1"/>
    <col min="11530" max="11530" width="15.375" style="24" bestFit="1" customWidth="1"/>
    <col min="11531" max="11531" width="17.125" style="24" customWidth="1"/>
    <col min="11532" max="11532" width="8.375" style="24" bestFit="1" customWidth="1"/>
    <col min="11533" max="11533" width="9.25" style="24" bestFit="1" customWidth="1"/>
    <col min="11534" max="11534" width="8" style="24" bestFit="1" customWidth="1"/>
    <col min="11535" max="11749" width="9" style="24"/>
    <col min="11750" max="11750" width="5.25" style="24" bestFit="1" customWidth="1"/>
    <col min="11751" max="11751" width="8" style="24" bestFit="1" customWidth="1"/>
    <col min="11752" max="11752" width="6.625" style="24" bestFit="1" customWidth="1"/>
    <col min="11753" max="11753" width="7.25" style="24" customWidth="1"/>
    <col min="11754" max="11755" width="9.625" style="24" bestFit="1" customWidth="1"/>
    <col min="11756" max="11756" width="6.25" style="24" bestFit="1" customWidth="1"/>
    <col min="11757" max="11757" width="9.625" style="24" bestFit="1" customWidth="1"/>
    <col min="11758" max="11761" width="9" style="24" customWidth="1"/>
    <col min="11762" max="11762" width="6.625" style="24" bestFit="1" customWidth="1"/>
    <col min="11763" max="11763" width="9.625" style="24" bestFit="1" customWidth="1"/>
    <col min="11764" max="11764" width="6.625" style="24" bestFit="1" customWidth="1"/>
    <col min="11765" max="11765" width="9.625" style="24" bestFit="1" customWidth="1"/>
    <col min="11766" max="11766" width="7.5" style="24" bestFit="1" customWidth="1"/>
    <col min="11767" max="11767" width="9.625" style="24" bestFit="1" customWidth="1"/>
    <col min="11768" max="11768" width="5.75" style="24" bestFit="1" customWidth="1"/>
    <col min="11769" max="11769" width="8.375" style="24" bestFit="1" customWidth="1"/>
    <col min="11770" max="11770" width="4.75" style="24" bestFit="1" customWidth="1"/>
    <col min="11771" max="11771" width="9.5" style="24" customWidth="1"/>
    <col min="11772" max="11774" width="9" style="24" customWidth="1"/>
    <col min="11775" max="11775" width="6.75" style="24" bestFit="1" customWidth="1"/>
    <col min="11776" max="11776" width="14.25" style="24" customWidth="1"/>
    <col min="11777" max="11780" width="9.625" style="24" bestFit="1" customWidth="1"/>
    <col min="11781" max="11781" width="8.375" style="24" bestFit="1" customWidth="1"/>
    <col min="11782" max="11782" width="11.875" style="24" bestFit="1" customWidth="1"/>
    <col min="11783" max="11784" width="9.625" style="24" bestFit="1" customWidth="1"/>
    <col min="11785" max="11785" width="16.25" style="24" bestFit="1" customWidth="1"/>
    <col min="11786" max="11786" width="15.375" style="24" bestFit="1" customWidth="1"/>
    <col min="11787" max="11787" width="17.125" style="24" customWidth="1"/>
    <col min="11788" max="11788" width="8.375" style="24" bestFit="1" customWidth="1"/>
    <col min="11789" max="11789" width="9.25" style="24" bestFit="1" customWidth="1"/>
    <col min="11790" max="11790" width="8" style="24" bestFit="1" customWidth="1"/>
    <col min="11791" max="12005" width="9" style="24"/>
    <col min="12006" max="12006" width="5.25" style="24" bestFit="1" customWidth="1"/>
    <col min="12007" max="12007" width="8" style="24" bestFit="1" customWidth="1"/>
    <col min="12008" max="12008" width="6.625" style="24" bestFit="1" customWidth="1"/>
    <col min="12009" max="12009" width="7.25" style="24" customWidth="1"/>
    <col min="12010" max="12011" width="9.625" style="24" bestFit="1" customWidth="1"/>
    <col min="12012" max="12012" width="6.25" style="24" bestFit="1" customWidth="1"/>
    <col min="12013" max="12013" width="9.625" style="24" bestFit="1" customWidth="1"/>
    <col min="12014" max="12017" width="9" style="24" customWidth="1"/>
    <col min="12018" max="12018" width="6.625" style="24" bestFit="1" customWidth="1"/>
    <col min="12019" max="12019" width="9.625" style="24" bestFit="1" customWidth="1"/>
    <col min="12020" max="12020" width="6.625" style="24" bestFit="1" customWidth="1"/>
    <col min="12021" max="12021" width="9.625" style="24" bestFit="1" customWidth="1"/>
    <col min="12022" max="12022" width="7.5" style="24" bestFit="1" customWidth="1"/>
    <col min="12023" max="12023" width="9.625" style="24" bestFit="1" customWidth="1"/>
    <col min="12024" max="12024" width="5.75" style="24" bestFit="1" customWidth="1"/>
    <col min="12025" max="12025" width="8.375" style="24" bestFit="1" customWidth="1"/>
    <col min="12026" max="12026" width="4.75" style="24" bestFit="1" customWidth="1"/>
    <col min="12027" max="12027" width="9.5" style="24" customWidth="1"/>
    <col min="12028" max="12030" width="9" style="24" customWidth="1"/>
    <col min="12031" max="12031" width="6.75" style="24" bestFit="1" customWidth="1"/>
    <col min="12032" max="12032" width="14.25" style="24" customWidth="1"/>
    <col min="12033" max="12036" width="9.625" style="24" bestFit="1" customWidth="1"/>
    <col min="12037" max="12037" width="8.375" style="24" bestFit="1" customWidth="1"/>
    <col min="12038" max="12038" width="11.875" style="24" bestFit="1" customWidth="1"/>
    <col min="12039" max="12040" width="9.625" style="24" bestFit="1" customWidth="1"/>
    <col min="12041" max="12041" width="16.25" style="24" bestFit="1" customWidth="1"/>
    <col min="12042" max="12042" width="15.375" style="24" bestFit="1" customWidth="1"/>
    <col min="12043" max="12043" width="17.125" style="24" customWidth="1"/>
    <col min="12044" max="12044" width="8.375" style="24" bestFit="1" customWidth="1"/>
    <col min="12045" max="12045" width="9.25" style="24" bestFit="1" customWidth="1"/>
    <col min="12046" max="12046" width="8" style="24" bestFit="1" customWidth="1"/>
    <col min="12047" max="12261" width="9" style="24"/>
    <col min="12262" max="12262" width="5.25" style="24" bestFit="1" customWidth="1"/>
    <col min="12263" max="12263" width="8" style="24" bestFit="1" customWidth="1"/>
    <col min="12264" max="12264" width="6.625" style="24" bestFit="1" customWidth="1"/>
    <col min="12265" max="12265" width="7.25" style="24" customWidth="1"/>
    <col min="12266" max="12267" width="9.625" style="24" bestFit="1" customWidth="1"/>
    <col min="12268" max="12268" width="6.25" style="24" bestFit="1" customWidth="1"/>
    <col min="12269" max="12269" width="9.625" style="24" bestFit="1" customWidth="1"/>
    <col min="12270" max="12273" width="9" style="24" customWidth="1"/>
    <col min="12274" max="12274" width="6.625" style="24" bestFit="1" customWidth="1"/>
    <col min="12275" max="12275" width="9.625" style="24" bestFit="1" customWidth="1"/>
    <col min="12276" max="12276" width="6.625" style="24" bestFit="1" customWidth="1"/>
    <col min="12277" max="12277" width="9.625" style="24" bestFit="1" customWidth="1"/>
    <col min="12278" max="12278" width="7.5" style="24" bestFit="1" customWidth="1"/>
    <col min="12279" max="12279" width="9.625" style="24" bestFit="1" customWidth="1"/>
    <col min="12280" max="12280" width="5.75" style="24" bestFit="1" customWidth="1"/>
    <col min="12281" max="12281" width="8.375" style="24" bestFit="1" customWidth="1"/>
    <col min="12282" max="12282" width="4.75" style="24" bestFit="1" customWidth="1"/>
    <col min="12283" max="12283" width="9.5" style="24" customWidth="1"/>
    <col min="12284" max="12286" width="9" style="24" customWidth="1"/>
    <col min="12287" max="12287" width="6.75" style="24" bestFit="1" customWidth="1"/>
    <col min="12288" max="12288" width="14.25" style="24" customWidth="1"/>
    <col min="12289" max="12292" width="9.625" style="24" bestFit="1" customWidth="1"/>
    <col min="12293" max="12293" width="8.375" style="24" bestFit="1" customWidth="1"/>
    <col min="12294" max="12294" width="11.875" style="24" bestFit="1" customWidth="1"/>
    <col min="12295" max="12296" width="9.625" style="24" bestFit="1" customWidth="1"/>
    <col min="12297" max="12297" width="16.25" style="24" bestFit="1" customWidth="1"/>
    <col min="12298" max="12298" width="15.375" style="24" bestFit="1" customWidth="1"/>
    <col min="12299" max="12299" width="17.125" style="24" customWidth="1"/>
    <col min="12300" max="12300" width="8.375" style="24" bestFit="1" customWidth="1"/>
    <col min="12301" max="12301" width="9.25" style="24" bestFit="1" customWidth="1"/>
    <col min="12302" max="12302" width="8" style="24" bestFit="1" customWidth="1"/>
    <col min="12303" max="12517" width="9" style="24"/>
    <col min="12518" max="12518" width="5.25" style="24" bestFit="1" customWidth="1"/>
    <col min="12519" max="12519" width="8" style="24" bestFit="1" customWidth="1"/>
    <col min="12520" max="12520" width="6.625" style="24" bestFit="1" customWidth="1"/>
    <col min="12521" max="12521" width="7.25" style="24" customWidth="1"/>
    <col min="12522" max="12523" width="9.625" style="24" bestFit="1" customWidth="1"/>
    <col min="12524" max="12524" width="6.25" style="24" bestFit="1" customWidth="1"/>
    <col min="12525" max="12525" width="9.625" style="24" bestFit="1" customWidth="1"/>
    <col min="12526" max="12529" width="9" style="24" customWidth="1"/>
    <col min="12530" max="12530" width="6.625" style="24" bestFit="1" customWidth="1"/>
    <col min="12531" max="12531" width="9.625" style="24" bestFit="1" customWidth="1"/>
    <col min="12532" max="12532" width="6.625" style="24" bestFit="1" customWidth="1"/>
    <col min="12533" max="12533" width="9.625" style="24" bestFit="1" customWidth="1"/>
    <col min="12534" max="12534" width="7.5" style="24" bestFit="1" customWidth="1"/>
    <col min="12535" max="12535" width="9.625" style="24" bestFit="1" customWidth="1"/>
    <col min="12536" max="12536" width="5.75" style="24" bestFit="1" customWidth="1"/>
    <col min="12537" max="12537" width="8.375" style="24" bestFit="1" customWidth="1"/>
    <col min="12538" max="12538" width="4.75" style="24" bestFit="1" customWidth="1"/>
    <col min="12539" max="12539" width="9.5" style="24" customWidth="1"/>
    <col min="12540" max="12542" width="9" style="24" customWidth="1"/>
    <col min="12543" max="12543" width="6.75" style="24" bestFit="1" customWidth="1"/>
    <col min="12544" max="12544" width="14.25" style="24" customWidth="1"/>
    <col min="12545" max="12548" width="9.625" style="24" bestFit="1" customWidth="1"/>
    <col min="12549" max="12549" width="8.375" style="24" bestFit="1" customWidth="1"/>
    <col min="12550" max="12550" width="11.875" style="24" bestFit="1" customWidth="1"/>
    <col min="12551" max="12552" width="9.625" style="24" bestFit="1" customWidth="1"/>
    <col min="12553" max="12553" width="16.25" style="24" bestFit="1" customWidth="1"/>
    <col min="12554" max="12554" width="15.375" style="24" bestFit="1" customWidth="1"/>
    <col min="12555" max="12555" width="17.125" style="24" customWidth="1"/>
    <col min="12556" max="12556" width="8.375" style="24" bestFit="1" customWidth="1"/>
    <col min="12557" max="12557" width="9.25" style="24" bestFit="1" customWidth="1"/>
    <col min="12558" max="12558" width="8" style="24" bestFit="1" customWidth="1"/>
    <col min="12559" max="12773" width="9" style="24"/>
    <col min="12774" max="12774" width="5.25" style="24" bestFit="1" customWidth="1"/>
    <col min="12775" max="12775" width="8" style="24" bestFit="1" customWidth="1"/>
    <col min="12776" max="12776" width="6.625" style="24" bestFit="1" customWidth="1"/>
    <col min="12777" max="12777" width="7.25" style="24" customWidth="1"/>
    <col min="12778" max="12779" width="9.625" style="24" bestFit="1" customWidth="1"/>
    <col min="12780" max="12780" width="6.25" style="24" bestFit="1" customWidth="1"/>
    <col min="12781" max="12781" width="9.625" style="24" bestFit="1" customWidth="1"/>
    <col min="12782" max="12785" width="9" style="24" customWidth="1"/>
    <col min="12786" max="12786" width="6.625" style="24" bestFit="1" customWidth="1"/>
    <col min="12787" max="12787" width="9.625" style="24" bestFit="1" customWidth="1"/>
    <col min="12788" max="12788" width="6.625" style="24" bestFit="1" customWidth="1"/>
    <col min="12789" max="12789" width="9.625" style="24" bestFit="1" customWidth="1"/>
    <col min="12790" max="12790" width="7.5" style="24" bestFit="1" customWidth="1"/>
    <col min="12791" max="12791" width="9.625" style="24" bestFit="1" customWidth="1"/>
    <col min="12792" max="12792" width="5.75" style="24" bestFit="1" customWidth="1"/>
    <col min="12793" max="12793" width="8.375" style="24" bestFit="1" customWidth="1"/>
    <col min="12794" max="12794" width="4.75" style="24" bestFit="1" customWidth="1"/>
    <col min="12795" max="12795" width="9.5" style="24" customWidth="1"/>
    <col min="12796" max="12798" width="9" style="24" customWidth="1"/>
    <col min="12799" max="12799" width="6.75" style="24" bestFit="1" customWidth="1"/>
    <col min="12800" max="12800" width="14.25" style="24" customWidth="1"/>
    <col min="12801" max="12804" width="9.625" style="24" bestFit="1" customWidth="1"/>
    <col min="12805" max="12805" width="8.375" style="24" bestFit="1" customWidth="1"/>
    <col min="12806" max="12806" width="11.875" style="24" bestFit="1" customWidth="1"/>
    <col min="12807" max="12808" width="9.625" style="24" bestFit="1" customWidth="1"/>
    <col min="12809" max="12809" width="16.25" style="24" bestFit="1" customWidth="1"/>
    <col min="12810" max="12810" width="15.375" style="24" bestFit="1" customWidth="1"/>
    <col min="12811" max="12811" width="17.125" style="24" customWidth="1"/>
    <col min="12812" max="12812" width="8.375" style="24" bestFit="1" customWidth="1"/>
    <col min="12813" max="12813" width="9.25" style="24" bestFit="1" customWidth="1"/>
    <col min="12814" max="12814" width="8" style="24" bestFit="1" customWidth="1"/>
    <col min="12815" max="13029" width="9" style="24"/>
    <col min="13030" max="13030" width="5.25" style="24" bestFit="1" customWidth="1"/>
    <col min="13031" max="13031" width="8" style="24" bestFit="1" customWidth="1"/>
    <col min="13032" max="13032" width="6.625" style="24" bestFit="1" customWidth="1"/>
    <col min="13033" max="13033" width="7.25" style="24" customWidth="1"/>
    <col min="13034" max="13035" width="9.625" style="24" bestFit="1" customWidth="1"/>
    <col min="13036" max="13036" width="6.25" style="24" bestFit="1" customWidth="1"/>
    <col min="13037" max="13037" width="9.625" style="24" bestFit="1" customWidth="1"/>
    <col min="13038" max="13041" width="9" style="24" customWidth="1"/>
    <col min="13042" max="13042" width="6.625" style="24" bestFit="1" customWidth="1"/>
    <col min="13043" max="13043" width="9.625" style="24" bestFit="1" customWidth="1"/>
    <col min="13044" max="13044" width="6.625" style="24" bestFit="1" customWidth="1"/>
    <col min="13045" max="13045" width="9.625" style="24" bestFit="1" customWidth="1"/>
    <col min="13046" max="13046" width="7.5" style="24" bestFit="1" customWidth="1"/>
    <col min="13047" max="13047" width="9.625" style="24" bestFit="1" customWidth="1"/>
    <col min="13048" max="13048" width="5.75" style="24" bestFit="1" customWidth="1"/>
    <col min="13049" max="13049" width="8.375" style="24" bestFit="1" customWidth="1"/>
    <col min="13050" max="13050" width="4.75" style="24" bestFit="1" customWidth="1"/>
    <col min="13051" max="13051" width="9.5" style="24" customWidth="1"/>
    <col min="13052" max="13054" width="9" style="24" customWidth="1"/>
    <col min="13055" max="13055" width="6.75" style="24" bestFit="1" customWidth="1"/>
    <col min="13056" max="13056" width="14.25" style="24" customWidth="1"/>
    <col min="13057" max="13060" width="9.625" style="24" bestFit="1" customWidth="1"/>
    <col min="13061" max="13061" width="8.375" style="24" bestFit="1" customWidth="1"/>
    <col min="13062" max="13062" width="11.875" style="24" bestFit="1" customWidth="1"/>
    <col min="13063" max="13064" width="9.625" style="24" bestFit="1" customWidth="1"/>
    <col min="13065" max="13065" width="16.25" style="24" bestFit="1" customWidth="1"/>
    <col min="13066" max="13066" width="15.375" style="24" bestFit="1" customWidth="1"/>
    <col min="13067" max="13067" width="17.125" style="24" customWidth="1"/>
    <col min="13068" max="13068" width="8.375" style="24" bestFit="1" customWidth="1"/>
    <col min="13069" max="13069" width="9.25" style="24" bestFit="1" customWidth="1"/>
    <col min="13070" max="13070" width="8" style="24" bestFit="1" customWidth="1"/>
    <col min="13071" max="13285" width="9" style="24"/>
    <col min="13286" max="13286" width="5.25" style="24" bestFit="1" customWidth="1"/>
    <col min="13287" max="13287" width="8" style="24" bestFit="1" customWidth="1"/>
    <col min="13288" max="13288" width="6.625" style="24" bestFit="1" customWidth="1"/>
    <col min="13289" max="13289" width="7.25" style="24" customWidth="1"/>
    <col min="13290" max="13291" width="9.625" style="24" bestFit="1" customWidth="1"/>
    <col min="13292" max="13292" width="6.25" style="24" bestFit="1" customWidth="1"/>
    <col min="13293" max="13293" width="9.625" style="24" bestFit="1" customWidth="1"/>
    <col min="13294" max="13297" width="9" style="24" customWidth="1"/>
    <col min="13298" max="13298" width="6.625" style="24" bestFit="1" customWidth="1"/>
    <col min="13299" max="13299" width="9.625" style="24" bestFit="1" customWidth="1"/>
    <col min="13300" max="13300" width="6.625" style="24" bestFit="1" customWidth="1"/>
    <col min="13301" max="13301" width="9.625" style="24" bestFit="1" customWidth="1"/>
    <col min="13302" max="13302" width="7.5" style="24" bestFit="1" customWidth="1"/>
    <col min="13303" max="13303" width="9.625" style="24" bestFit="1" customWidth="1"/>
    <col min="13304" max="13304" width="5.75" style="24" bestFit="1" customWidth="1"/>
    <col min="13305" max="13305" width="8.375" style="24" bestFit="1" customWidth="1"/>
    <col min="13306" max="13306" width="4.75" style="24" bestFit="1" customWidth="1"/>
    <col min="13307" max="13307" width="9.5" style="24" customWidth="1"/>
    <col min="13308" max="13310" width="9" style="24" customWidth="1"/>
    <col min="13311" max="13311" width="6.75" style="24" bestFit="1" customWidth="1"/>
    <col min="13312" max="13312" width="14.25" style="24" customWidth="1"/>
    <col min="13313" max="13316" width="9.625" style="24" bestFit="1" customWidth="1"/>
    <col min="13317" max="13317" width="8.375" style="24" bestFit="1" customWidth="1"/>
    <col min="13318" max="13318" width="11.875" style="24" bestFit="1" customWidth="1"/>
    <col min="13319" max="13320" width="9.625" style="24" bestFit="1" customWidth="1"/>
    <col min="13321" max="13321" width="16.25" style="24" bestFit="1" customWidth="1"/>
    <col min="13322" max="13322" width="15.375" style="24" bestFit="1" customWidth="1"/>
    <col min="13323" max="13323" width="17.125" style="24" customWidth="1"/>
    <col min="13324" max="13324" width="8.375" style="24" bestFit="1" customWidth="1"/>
    <col min="13325" max="13325" width="9.25" style="24" bestFit="1" customWidth="1"/>
    <col min="13326" max="13326" width="8" style="24" bestFit="1" customWidth="1"/>
    <col min="13327" max="13541" width="9" style="24"/>
    <col min="13542" max="13542" width="5.25" style="24" bestFit="1" customWidth="1"/>
    <col min="13543" max="13543" width="8" style="24" bestFit="1" customWidth="1"/>
    <col min="13544" max="13544" width="6.625" style="24" bestFit="1" customWidth="1"/>
    <col min="13545" max="13545" width="7.25" style="24" customWidth="1"/>
    <col min="13546" max="13547" width="9.625" style="24" bestFit="1" customWidth="1"/>
    <col min="13548" max="13548" width="6.25" style="24" bestFit="1" customWidth="1"/>
    <col min="13549" max="13549" width="9.625" style="24" bestFit="1" customWidth="1"/>
    <col min="13550" max="13553" width="9" style="24" customWidth="1"/>
    <col min="13554" max="13554" width="6.625" style="24" bestFit="1" customWidth="1"/>
    <col min="13555" max="13555" width="9.625" style="24" bestFit="1" customWidth="1"/>
    <col min="13556" max="13556" width="6.625" style="24" bestFit="1" customWidth="1"/>
    <col min="13557" max="13557" width="9.625" style="24" bestFit="1" customWidth="1"/>
    <col min="13558" max="13558" width="7.5" style="24" bestFit="1" customWidth="1"/>
    <col min="13559" max="13559" width="9.625" style="24" bestFit="1" customWidth="1"/>
    <col min="13560" max="13560" width="5.75" style="24" bestFit="1" customWidth="1"/>
    <col min="13561" max="13561" width="8.375" style="24" bestFit="1" customWidth="1"/>
    <col min="13562" max="13562" width="4.75" style="24" bestFit="1" customWidth="1"/>
    <col min="13563" max="13563" width="9.5" style="24" customWidth="1"/>
    <col min="13564" max="13566" width="9" style="24" customWidth="1"/>
    <col min="13567" max="13567" width="6.75" style="24" bestFit="1" customWidth="1"/>
    <col min="13568" max="13568" width="14.25" style="24" customWidth="1"/>
    <col min="13569" max="13572" width="9.625" style="24" bestFit="1" customWidth="1"/>
    <col min="13573" max="13573" width="8.375" style="24" bestFit="1" customWidth="1"/>
    <col min="13574" max="13574" width="11.875" style="24" bestFit="1" customWidth="1"/>
    <col min="13575" max="13576" width="9.625" style="24" bestFit="1" customWidth="1"/>
    <col min="13577" max="13577" width="16.25" style="24" bestFit="1" customWidth="1"/>
    <col min="13578" max="13578" width="15.375" style="24" bestFit="1" customWidth="1"/>
    <col min="13579" max="13579" width="17.125" style="24" customWidth="1"/>
    <col min="13580" max="13580" width="8.375" style="24" bestFit="1" customWidth="1"/>
    <col min="13581" max="13581" width="9.25" style="24" bestFit="1" customWidth="1"/>
    <col min="13582" max="13582" width="8" style="24" bestFit="1" customWidth="1"/>
    <col min="13583" max="13797" width="9" style="24"/>
    <col min="13798" max="13798" width="5.25" style="24" bestFit="1" customWidth="1"/>
    <col min="13799" max="13799" width="8" style="24" bestFit="1" customWidth="1"/>
    <col min="13800" max="13800" width="6.625" style="24" bestFit="1" customWidth="1"/>
    <col min="13801" max="13801" width="7.25" style="24" customWidth="1"/>
    <col min="13802" max="13803" width="9.625" style="24" bestFit="1" customWidth="1"/>
    <col min="13804" max="13804" width="6.25" style="24" bestFit="1" customWidth="1"/>
    <col min="13805" max="13805" width="9.625" style="24" bestFit="1" customWidth="1"/>
    <col min="13806" max="13809" width="9" style="24" customWidth="1"/>
    <col min="13810" max="13810" width="6.625" style="24" bestFit="1" customWidth="1"/>
    <col min="13811" max="13811" width="9.625" style="24" bestFit="1" customWidth="1"/>
    <col min="13812" max="13812" width="6.625" style="24" bestFit="1" customWidth="1"/>
    <col min="13813" max="13813" width="9.625" style="24" bestFit="1" customWidth="1"/>
    <col min="13814" max="13814" width="7.5" style="24" bestFit="1" customWidth="1"/>
    <col min="13815" max="13815" width="9.625" style="24" bestFit="1" customWidth="1"/>
    <col min="13816" max="13816" width="5.75" style="24" bestFit="1" customWidth="1"/>
    <col min="13817" max="13817" width="8.375" style="24" bestFit="1" customWidth="1"/>
    <col min="13818" max="13818" width="4.75" style="24" bestFit="1" customWidth="1"/>
    <col min="13819" max="13819" width="9.5" style="24" customWidth="1"/>
    <col min="13820" max="13822" width="9" style="24" customWidth="1"/>
    <col min="13823" max="13823" width="6.75" style="24" bestFit="1" customWidth="1"/>
    <col min="13824" max="13824" width="14.25" style="24" customWidth="1"/>
    <col min="13825" max="13828" width="9.625" style="24" bestFit="1" customWidth="1"/>
    <col min="13829" max="13829" width="8.375" style="24" bestFit="1" customWidth="1"/>
    <col min="13830" max="13830" width="11.875" style="24" bestFit="1" customWidth="1"/>
    <col min="13831" max="13832" width="9.625" style="24" bestFit="1" customWidth="1"/>
    <col min="13833" max="13833" width="16.25" style="24" bestFit="1" customWidth="1"/>
    <col min="13834" max="13834" width="15.375" style="24" bestFit="1" customWidth="1"/>
    <col min="13835" max="13835" width="17.125" style="24" customWidth="1"/>
    <col min="13836" max="13836" width="8.375" style="24" bestFit="1" customWidth="1"/>
    <col min="13837" max="13837" width="9.25" style="24" bestFit="1" customWidth="1"/>
    <col min="13838" max="13838" width="8" style="24" bestFit="1" customWidth="1"/>
    <col min="13839" max="14053" width="9" style="24"/>
    <col min="14054" max="14054" width="5.25" style="24" bestFit="1" customWidth="1"/>
    <col min="14055" max="14055" width="8" style="24" bestFit="1" customWidth="1"/>
    <col min="14056" max="14056" width="6.625" style="24" bestFit="1" customWidth="1"/>
    <col min="14057" max="14057" width="7.25" style="24" customWidth="1"/>
    <col min="14058" max="14059" width="9.625" style="24" bestFit="1" customWidth="1"/>
    <col min="14060" max="14060" width="6.25" style="24" bestFit="1" customWidth="1"/>
    <col min="14061" max="14061" width="9.625" style="24" bestFit="1" customWidth="1"/>
    <col min="14062" max="14065" width="9" style="24" customWidth="1"/>
    <col min="14066" max="14066" width="6.625" style="24" bestFit="1" customWidth="1"/>
    <col min="14067" max="14067" width="9.625" style="24" bestFit="1" customWidth="1"/>
    <col min="14068" max="14068" width="6.625" style="24" bestFit="1" customWidth="1"/>
    <col min="14069" max="14069" width="9.625" style="24" bestFit="1" customWidth="1"/>
    <col min="14070" max="14070" width="7.5" style="24" bestFit="1" customWidth="1"/>
    <col min="14071" max="14071" width="9.625" style="24" bestFit="1" customWidth="1"/>
    <col min="14072" max="14072" width="5.75" style="24" bestFit="1" customWidth="1"/>
    <col min="14073" max="14073" width="8.375" style="24" bestFit="1" customWidth="1"/>
    <col min="14074" max="14074" width="4.75" style="24" bestFit="1" customWidth="1"/>
    <col min="14075" max="14075" width="9.5" style="24" customWidth="1"/>
    <col min="14076" max="14078" width="9" style="24" customWidth="1"/>
    <col min="14079" max="14079" width="6.75" style="24" bestFit="1" customWidth="1"/>
    <col min="14080" max="14080" width="14.25" style="24" customWidth="1"/>
    <col min="14081" max="14084" width="9.625" style="24" bestFit="1" customWidth="1"/>
    <col min="14085" max="14085" width="8.375" style="24" bestFit="1" customWidth="1"/>
    <col min="14086" max="14086" width="11.875" style="24" bestFit="1" customWidth="1"/>
    <col min="14087" max="14088" width="9.625" style="24" bestFit="1" customWidth="1"/>
    <col min="14089" max="14089" width="16.25" style="24" bestFit="1" customWidth="1"/>
    <col min="14090" max="14090" width="15.375" style="24" bestFit="1" customWidth="1"/>
    <col min="14091" max="14091" width="17.125" style="24" customWidth="1"/>
    <col min="14092" max="14092" width="8.375" style="24" bestFit="1" customWidth="1"/>
    <col min="14093" max="14093" width="9.25" style="24" bestFit="1" customWidth="1"/>
    <col min="14094" max="14094" width="8" style="24" bestFit="1" customWidth="1"/>
    <col min="14095" max="14309" width="9" style="24"/>
    <col min="14310" max="14310" width="5.25" style="24" bestFit="1" customWidth="1"/>
    <col min="14311" max="14311" width="8" style="24" bestFit="1" customWidth="1"/>
    <col min="14312" max="14312" width="6.625" style="24" bestFit="1" customWidth="1"/>
    <col min="14313" max="14313" width="7.25" style="24" customWidth="1"/>
    <col min="14314" max="14315" width="9.625" style="24" bestFit="1" customWidth="1"/>
    <col min="14316" max="14316" width="6.25" style="24" bestFit="1" customWidth="1"/>
    <col min="14317" max="14317" width="9.625" style="24" bestFit="1" customWidth="1"/>
    <col min="14318" max="14321" width="9" style="24" customWidth="1"/>
    <col min="14322" max="14322" width="6.625" style="24" bestFit="1" customWidth="1"/>
    <col min="14323" max="14323" width="9.625" style="24" bestFit="1" customWidth="1"/>
    <col min="14324" max="14324" width="6.625" style="24" bestFit="1" customWidth="1"/>
    <col min="14325" max="14325" width="9.625" style="24" bestFit="1" customWidth="1"/>
    <col min="14326" max="14326" width="7.5" style="24" bestFit="1" customWidth="1"/>
    <col min="14327" max="14327" width="9.625" style="24" bestFit="1" customWidth="1"/>
    <col min="14328" max="14328" width="5.75" style="24" bestFit="1" customWidth="1"/>
    <col min="14329" max="14329" width="8.375" style="24" bestFit="1" customWidth="1"/>
    <col min="14330" max="14330" width="4.75" style="24" bestFit="1" customWidth="1"/>
    <col min="14331" max="14331" width="9.5" style="24" customWidth="1"/>
    <col min="14332" max="14334" width="9" style="24" customWidth="1"/>
    <col min="14335" max="14335" width="6.75" style="24" bestFit="1" customWidth="1"/>
    <col min="14336" max="14336" width="14.25" style="24" customWidth="1"/>
    <col min="14337" max="14340" width="9.625" style="24" bestFit="1" customWidth="1"/>
    <col min="14341" max="14341" width="8.375" style="24" bestFit="1" customWidth="1"/>
    <col min="14342" max="14342" width="11.875" style="24" bestFit="1" customWidth="1"/>
    <col min="14343" max="14344" width="9.625" style="24" bestFit="1" customWidth="1"/>
    <col min="14345" max="14345" width="16.25" style="24" bestFit="1" customWidth="1"/>
    <col min="14346" max="14346" width="15.375" style="24" bestFit="1" customWidth="1"/>
    <col min="14347" max="14347" width="17.125" style="24" customWidth="1"/>
    <col min="14348" max="14348" width="8.375" style="24" bestFit="1" customWidth="1"/>
    <col min="14349" max="14349" width="9.25" style="24" bestFit="1" customWidth="1"/>
    <col min="14350" max="14350" width="8" style="24" bestFit="1" customWidth="1"/>
    <col min="14351" max="14565" width="9" style="24"/>
    <col min="14566" max="14566" width="5.25" style="24" bestFit="1" customWidth="1"/>
    <col min="14567" max="14567" width="8" style="24" bestFit="1" customWidth="1"/>
    <col min="14568" max="14568" width="6.625" style="24" bestFit="1" customWidth="1"/>
    <col min="14569" max="14569" width="7.25" style="24" customWidth="1"/>
    <col min="14570" max="14571" width="9.625" style="24" bestFit="1" customWidth="1"/>
    <col min="14572" max="14572" width="6.25" style="24" bestFit="1" customWidth="1"/>
    <col min="14573" max="14573" width="9.625" style="24" bestFit="1" customWidth="1"/>
    <col min="14574" max="14577" width="9" style="24" customWidth="1"/>
    <col min="14578" max="14578" width="6.625" style="24" bestFit="1" customWidth="1"/>
    <col min="14579" max="14579" width="9.625" style="24" bestFit="1" customWidth="1"/>
    <col min="14580" max="14580" width="6.625" style="24" bestFit="1" customWidth="1"/>
    <col min="14581" max="14581" width="9.625" style="24" bestFit="1" customWidth="1"/>
    <col min="14582" max="14582" width="7.5" style="24" bestFit="1" customWidth="1"/>
    <col min="14583" max="14583" width="9.625" style="24" bestFit="1" customWidth="1"/>
    <col min="14584" max="14584" width="5.75" style="24" bestFit="1" customWidth="1"/>
    <col min="14585" max="14585" width="8.375" style="24" bestFit="1" customWidth="1"/>
    <col min="14586" max="14586" width="4.75" style="24" bestFit="1" customWidth="1"/>
    <col min="14587" max="14587" width="9.5" style="24" customWidth="1"/>
    <col min="14588" max="14590" width="9" style="24" customWidth="1"/>
    <col min="14591" max="14591" width="6.75" style="24" bestFit="1" customWidth="1"/>
    <col min="14592" max="14592" width="14.25" style="24" customWidth="1"/>
    <col min="14593" max="14596" width="9.625" style="24" bestFit="1" customWidth="1"/>
    <col min="14597" max="14597" width="8.375" style="24" bestFit="1" customWidth="1"/>
    <col min="14598" max="14598" width="11.875" style="24" bestFit="1" customWidth="1"/>
    <col min="14599" max="14600" width="9.625" style="24" bestFit="1" customWidth="1"/>
    <col min="14601" max="14601" width="16.25" style="24" bestFit="1" customWidth="1"/>
    <col min="14602" max="14602" width="15.375" style="24" bestFit="1" customWidth="1"/>
    <col min="14603" max="14603" width="17.125" style="24" customWidth="1"/>
    <col min="14604" max="14604" width="8.375" style="24" bestFit="1" customWidth="1"/>
    <col min="14605" max="14605" width="9.25" style="24" bestFit="1" customWidth="1"/>
    <col min="14606" max="14606" width="8" style="24" bestFit="1" customWidth="1"/>
    <col min="14607" max="14821" width="9" style="24"/>
    <col min="14822" max="14822" width="5.25" style="24" bestFit="1" customWidth="1"/>
    <col min="14823" max="14823" width="8" style="24" bestFit="1" customWidth="1"/>
    <col min="14824" max="14824" width="6.625" style="24" bestFit="1" customWidth="1"/>
    <col min="14825" max="14825" width="7.25" style="24" customWidth="1"/>
    <col min="14826" max="14827" width="9.625" style="24" bestFit="1" customWidth="1"/>
    <col min="14828" max="14828" width="6.25" style="24" bestFit="1" customWidth="1"/>
    <col min="14829" max="14829" width="9.625" style="24" bestFit="1" customWidth="1"/>
    <col min="14830" max="14833" width="9" style="24" customWidth="1"/>
    <col min="14834" max="14834" width="6.625" style="24" bestFit="1" customWidth="1"/>
    <col min="14835" max="14835" width="9.625" style="24" bestFit="1" customWidth="1"/>
    <col min="14836" max="14836" width="6.625" style="24" bestFit="1" customWidth="1"/>
    <col min="14837" max="14837" width="9.625" style="24" bestFit="1" customWidth="1"/>
    <col min="14838" max="14838" width="7.5" style="24" bestFit="1" customWidth="1"/>
    <col min="14839" max="14839" width="9.625" style="24" bestFit="1" customWidth="1"/>
    <col min="14840" max="14840" width="5.75" style="24" bestFit="1" customWidth="1"/>
    <col min="14841" max="14841" width="8.375" style="24" bestFit="1" customWidth="1"/>
    <col min="14842" max="14842" width="4.75" style="24" bestFit="1" customWidth="1"/>
    <col min="14843" max="14843" width="9.5" style="24" customWidth="1"/>
    <col min="14844" max="14846" width="9" style="24" customWidth="1"/>
    <col min="14847" max="14847" width="6.75" style="24" bestFit="1" customWidth="1"/>
    <col min="14848" max="14848" width="14.25" style="24" customWidth="1"/>
    <col min="14849" max="14852" width="9.625" style="24" bestFit="1" customWidth="1"/>
    <col min="14853" max="14853" width="8.375" style="24" bestFit="1" customWidth="1"/>
    <col min="14854" max="14854" width="11.875" style="24" bestFit="1" customWidth="1"/>
    <col min="14855" max="14856" width="9.625" style="24" bestFit="1" customWidth="1"/>
    <col min="14857" max="14857" width="16.25" style="24" bestFit="1" customWidth="1"/>
    <col min="14858" max="14858" width="15.375" style="24" bestFit="1" customWidth="1"/>
    <col min="14859" max="14859" width="17.125" style="24" customWidth="1"/>
    <col min="14860" max="14860" width="8.375" style="24" bestFit="1" customWidth="1"/>
    <col min="14861" max="14861" width="9.25" style="24" bestFit="1" customWidth="1"/>
    <col min="14862" max="14862" width="8" style="24" bestFit="1" customWidth="1"/>
    <col min="14863" max="15077" width="9" style="24"/>
    <col min="15078" max="15078" width="5.25" style="24" bestFit="1" customWidth="1"/>
    <col min="15079" max="15079" width="8" style="24" bestFit="1" customWidth="1"/>
    <col min="15080" max="15080" width="6.625" style="24" bestFit="1" customWidth="1"/>
    <col min="15081" max="15081" width="7.25" style="24" customWidth="1"/>
    <col min="15082" max="15083" width="9.625" style="24" bestFit="1" customWidth="1"/>
    <col min="15084" max="15084" width="6.25" style="24" bestFit="1" customWidth="1"/>
    <col min="15085" max="15085" width="9.625" style="24" bestFit="1" customWidth="1"/>
    <col min="15086" max="15089" width="9" style="24" customWidth="1"/>
    <col min="15090" max="15090" width="6.625" style="24" bestFit="1" customWidth="1"/>
    <col min="15091" max="15091" width="9.625" style="24" bestFit="1" customWidth="1"/>
    <col min="15092" max="15092" width="6.625" style="24" bestFit="1" customWidth="1"/>
    <col min="15093" max="15093" width="9.625" style="24" bestFit="1" customWidth="1"/>
    <col min="15094" max="15094" width="7.5" style="24" bestFit="1" customWidth="1"/>
    <col min="15095" max="15095" width="9.625" style="24" bestFit="1" customWidth="1"/>
    <col min="15096" max="15096" width="5.75" style="24" bestFit="1" customWidth="1"/>
    <col min="15097" max="15097" width="8.375" style="24" bestFit="1" customWidth="1"/>
    <col min="15098" max="15098" width="4.75" style="24" bestFit="1" customWidth="1"/>
    <col min="15099" max="15099" width="9.5" style="24" customWidth="1"/>
    <col min="15100" max="15102" width="9" style="24" customWidth="1"/>
    <col min="15103" max="15103" width="6.75" style="24" bestFit="1" customWidth="1"/>
    <col min="15104" max="15104" width="14.25" style="24" customWidth="1"/>
    <col min="15105" max="15108" width="9.625" style="24" bestFit="1" customWidth="1"/>
    <col min="15109" max="15109" width="8.375" style="24" bestFit="1" customWidth="1"/>
    <col min="15110" max="15110" width="11.875" style="24" bestFit="1" customWidth="1"/>
    <col min="15111" max="15112" width="9.625" style="24" bestFit="1" customWidth="1"/>
    <col min="15113" max="15113" width="16.25" style="24" bestFit="1" customWidth="1"/>
    <col min="15114" max="15114" width="15.375" style="24" bestFit="1" customWidth="1"/>
    <col min="15115" max="15115" width="17.125" style="24" customWidth="1"/>
    <col min="15116" max="15116" width="8.375" style="24" bestFit="1" customWidth="1"/>
    <col min="15117" max="15117" width="9.25" style="24" bestFit="1" customWidth="1"/>
    <col min="15118" max="15118" width="8" style="24" bestFit="1" customWidth="1"/>
    <col min="15119" max="15333" width="9" style="24"/>
    <col min="15334" max="15334" width="5.25" style="24" bestFit="1" customWidth="1"/>
    <col min="15335" max="15335" width="8" style="24" bestFit="1" customWidth="1"/>
    <col min="15336" max="15336" width="6.625" style="24" bestFit="1" customWidth="1"/>
    <col min="15337" max="15337" width="7.25" style="24" customWidth="1"/>
    <col min="15338" max="15339" width="9.625" style="24" bestFit="1" customWidth="1"/>
    <col min="15340" max="15340" width="6.25" style="24" bestFit="1" customWidth="1"/>
    <col min="15341" max="15341" width="9.625" style="24" bestFit="1" customWidth="1"/>
    <col min="15342" max="15345" width="9" style="24" customWidth="1"/>
    <col min="15346" max="15346" width="6.625" style="24" bestFit="1" customWidth="1"/>
    <col min="15347" max="15347" width="9.625" style="24" bestFit="1" customWidth="1"/>
    <col min="15348" max="15348" width="6.625" style="24" bestFit="1" customWidth="1"/>
    <col min="15349" max="15349" width="9.625" style="24" bestFit="1" customWidth="1"/>
    <col min="15350" max="15350" width="7.5" style="24" bestFit="1" customWidth="1"/>
    <col min="15351" max="15351" width="9.625" style="24" bestFit="1" customWidth="1"/>
    <col min="15352" max="15352" width="5.75" style="24" bestFit="1" customWidth="1"/>
    <col min="15353" max="15353" width="8.375" style="24" bestFit="1" customWidth="1"/>
    <col min="15354" max="15354" width="4.75" style="24" bestFit="1" customWidth="1"/>
    <col min="15355" max="15355" width="9.5" style="24" customWidth="1"/>
    <col min="15356" max="15358" width="9" style="24" customWidth="1"/>
    <col min="15359" max="15359" width="6.75" style="24" bestFit="1" customWidth="1"/>
    <col min="15360" max="15360" width="14.25" style="24" customWidth="1"/>
    <col min="15361" max="15364" width="9.625" style="24" bestFit="1" customWidth="1"/>
    <col min="15365" max="15365" width="8.375" style="24" bestFit="1" customWidth="1"/>
    <col min="15366" max="15366" width="11.875" style="24" bestFit="1" customWidth="1"/>
    <col min="15367" max="15368" width="9.625" style="24" bestFit="1" customWidth="1"/>
    <col min="15369" max="15369" width="16.25" style="24" bestFit="1" customWidth="1"/>
    <col min="15370" max="15370" width="15.375" style="24" bestFit="1" customWidth="1"/>
    <col min="15371" max="15371" width="17.125" style="24" customWidth="1"/>
    <col min="15372" max="15372" width="8.375" style="24" bestFit="1" customWidth="1"/>
    <col min="15373" max="15373" width="9.25" style="24" bestFit="1" customWidth="1"/>
    <col min="15374" max="15374" width="8" style="24" bestFit="1" customWidth="1"/>
    <col min="15375" max="15589" width="9" style="24"/>
    <col min="15590" max="15590" width="5.25" style="24" bestFit="1" customWidth="1"/>
    <col min="15591" max="15591" width="8" style="24" bestFit="1" customWidth="1"/>
    <col min="15592" max="15592" width="6.625" style="24" bestFit="1" customWidth="1"/>
    <col min="15593" max="15593" width="7.25" style="24" customWidth="1"/>
    <col min="15594" max="15595" width="9.625" style="24" bestFit="1" customWidth="1"/>
    <col min="15596" max="15596" width="6.25" style="24" bestFit="1" customWidth="1"/>
    <col min="15597" max="15597" width="9.625" style="24" bestFit="1" customWidth="1"/>
    <col min="15598" max="15601" width="9" style="24" customWidth="1"/>
    <col min="15602" max="15602" width="6.625" style="24" bestFit="1" customWidth="1"/>
    <col min="15603" max="15603" width="9.625" style="24" bestFit="1" customWidth="1"/>
    <col min="15604" max="15604" width="6.625" style="24" bestFit="1" customWidth="1"/>
    <col min="15605" max="15605" width="9.625" style="24" bestFit="1" customWidth="1"/>
    <col min="15606" max="15606" width="7.5" style="24" bestFit="1" customWidth="1"/>
    <col min="15607" max="15607" width="9.625" style="24" bestFit="1" customWidth="1"/>
    <col min="15608" max="15608" width="5.75" style="24" bestFit="1" customWidth="1"/>
    <col min="15609" max="15609" width="8.375" style="24" bestFit="1" customWidth="1"/>
    <col min="15610" max="15610" width="4.75" style="24" bestFit="1" customWidth="1"/>
    <col min="15611" max="15611" width="9.5" style="24" customWidth="1"/>
    <col min="15612" max="15614" width="9" style="24" customWidth="1"/>
    <col min="15615" max="15615" width="6.75" style="24" bestFit="1" customWidth="1"/>
    <col min="15616" max="15616" width="14.25" style="24" customWidth="1"/>
    <col min="15617" max="15620" width="9.625" style="24" bestFit="1" customWidth="1"/>
    <col min="15621" max="15621" width="8.375" style="24" bestFit="1" customWidth="1"/>
    <col min="15622" max="15622" width="11.875" style="24" bestFit="1" customWidth="1"/>
    <col min="15623" max="15624" width="9.625" style="24" bestFit="1" customWidth="1"/>
    <col min="15625" max="15625" width="16.25" style="24" bestFit="1" customWidth="1"/>
    <col min="15626" max="15626" width="15.375" style="24" bestFit="1" customWidth="1"/>
    <col min="15627" max="15627" width="17.125" style="24" customWidth="1"/>
    <col min="15628" max="15628" width="8.375" style="24" bestFit="1" customWidth="1"/>
    <col min="15629" max="15629" width="9.25" style="24" bestFit="1" customWidth="1"/>
    <col min="15630" max="15630" width="8" style="24" bestFit="1" customWidth="1"/>
    <col min="15631" max="15845" width="9" style="24"/>
    <col min="15846" max="15846" width="5.25" style="24" bestFit="1" customWidth="1"/>
    <col min="15847" max="15847" width="8" style="24" bestFit="1" customWidth="1"/>
    <col min="15848" max="15848" width="6.625" style="24" bestFit="1" customWidth="1"/>
    <col min="15849" max="15849" width="7.25" style="24" customWidth="1"/>
    <col min="15850" max="15851" width="9.625" style="24" bestFit="1" customWidth="1"/>
    <col min="15852" max="15852" width="6.25" style="24" bestFit="1" customWidth="1"/>
    <col min="15853" max="15853" width="9.625" style="24" bestFit="1" customWidth="1"/>
    <col min="15854" max="15857" width="9" style="24" customWidth="1"/>
    <col min="15858" max="15858" width="6.625" style="24" bestFit="1" customWidth="1"/>
    <col min="15859" max="15859" width="9.625" style="24" bestFit="1" customWidth="1"/>
    <col min="15860" max="15860" width="6.625" style="24" bestFit="1" customWidth="1"/>
    <col min="15861" max="15861" width="9.625" style="24" bestFit="1" customWidth="1"/>
    <col min="15862" max="15862" width="7.5" style="24" bestFit="1" customWidth="1"/>
    <col min="15863" max="15863" width="9.625" style="24" bestFit="1" customWidth="1"/>
    <col min="15864" max="15864" width="5.75" style="24" bestFit="1" customWidth="1"/>
    <col min="15865" max="15865" width="8.375" style="24" bestFit="1" customWidth="1"/>
    <col min="15866" max="15866" width="4.75" style="24" bestFit="1" customWidth="1"/>
    <col min="15867" max="15867" width="9.5" style="24" customWidth="1"/>
    <col min="15868" max="15870" width="9" style="24" customWidth="1"/>
    <col min="15871" max="15871" width="6.75" style="24" bestFit="1" customWidth="1"/>
    <col min="15872" max="15872" width="14.25" style="24" customWidth="1"/>
    <col min="15873" max="15876" width="9.625" style="24" bestFit="1" customWidth="1"/>
    <col min="15877" max="15877" width="8.375" style="24" bestFit="1" customWidth="1"/>
    <col min="15878" max="15878" width="11.875" style="24" bestFit="1" customWidth="1"/>
    <col min="15879" max="15880" width="9.625" style="24" bestFit="1" customWidth="1"/>
    <col min="15881" max="15881" width="16.25" style="24" bestFit="1" customWidth="1"/>
    <col min="15882" max="15882" width="15.375" style="24" bestFit="1" customWidth="1"/>
    <col min="15883" max="15883" width="17.125" style="24" customWidth="1"/>
    <col min="15884" max="15884" width="8.375" style="24" bestFit="1" customWidth="1"/>
    <col min="15885" max="15885" width="9.25" style="24" bestFit="1" customWidth="1"/>
    <col min="15886" max="15886" width="8" style="24" bestFit="1" customWidth="1"/>
    <col min="15887" max="16101" width="9" style="24"/>
    <col min="16102" max="16102" width="5.25" style="24" bestFit="1" customWidth="1"/>
    <col min="16103" max="16103" width="8" style="24" bestFit="1" customWidth="1"/>
    <col min="16104" max="16104" width="6.625" style="24" bestFit="1" customWidth="1"/>
    <col min="16105" max="16105" width="7.25" style="24" customWidth="1"/>
    <col min="16106" max="16107" width="9.625" style="24" bestFit="1" customWidth="1"/>
    <col min="16108" max="16108" width="6.25" style="24" bestFit="1" customWidth="1"/>
    <col min="16109" max="16109" width="9.625" style="24" bestFit="1" customWidth="1"/>
    <col min="16110" max="16113" width="9" style="24" customWidth="1"/>
    <col min="16114" max="16114" width="6.625" style="24" bestFit="1" customWidth="1"/>
    <col min="16115" max="16115" width="9.625" style="24" bestFit="1" customWidth="1"/>
    <col min="16116" max="16116" width="6.625" style="24" bestFit="1" customWidth="1"/>
    <col min="16117" max="16117" width="9.625" style="24" bestFit="1" customWidth="1"/>
    <col min="16118" max="16118" width="7.5" style="24" bestFit="1" customWidth="1"/>
    <col min="16119" max="16119" width="9.625" style="24" bestFit="1" customWidth="1"/>
    <col min="16120" max="16120" width="5.75" style="24" bestFit="1" customWidth="1"/>
    <col min="16121" max="16121" width="8.375" style="24" bestFit="1" customWidth="1"/>
    <col min="16122" max="16122" width="4.75" style="24" bestFit="1" customWidth="1"/>
    <col min="16123" max="16123" width="9.5" style="24" customWidth="1"/>
    <col min="16124" max="16126" width="9" style="24" customWidth="1"/>
    <col min="16127" max="16127" width="6.75" style="24" bestFit="1" customWidth="1"/>
    <col min="16128" max="16128" width="14.25" style="24" customWidth="1"/>
    <col min="16129" max="16132" width="9.625" style="24" bestFit="1" customWidth="1"/>
    <col min="16133" max="16133" width="8.375" style="24" bestFit="1" customWidth="1"/>
    <col min="16134" max="16134" width="11.875" style="24" bestFit="1" customWidth="1"/>
    <col min="16135" max="16136" width="9.625" style="24" bestFit="1" customWidth="1"/>
    <col min="16137" max="16137" width="16.25" style="24" bestFit="1" customWidth="1"/>
    <col min="16138" max="16138" width="15.375" style="24" bestFit="1" customWidth="1"/>
    <col min="16139" max="16139" width="17.125" style="24" customWidth="1"/>
    <col min="16140" max="16140" width="8.375" style="24" bestFit="1" customWidth="1"/>
    <col min="16141" max="16141" width="9.25" style="24" bestFit="1" customWidth="1"/>
    <col min="16142" max="16142" width="8" style="24" bestFit="1" customWidth="1"/>
    <col min="16143" max="16384" width="9" style="24"/>
  </cols>
  <sheetData>
    <row r="1" spans="1:44" ht="29.25" customHeight="1">
      <c r="B1" s="135" t="s">
        <v>14</v>
      </c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5"/>
      <c r="Q1" s="135"/>
      <c r="R1" s="136">
        <v>0.08</v>
      </c>
      <c r="S1" s="136">
        <v>0.03</v>
      </c>
      <c r="T1" s="138"/>
      <c r="U1" s="140" t="s">
        <v>15</v>
      </c>
    </row>
    <row r="2" spans="1:44" ht="29.25" customHeight="1" thickBot="1">
      <c r="B2" s="135"/>
      <c r="C2" s="135"/>
      <c r="D2" s="135"/>
      <c r="E2" s="135"/>
      <c r="F2" s="135"/>
      <c r="G2" s="135"/>
      <c r="H2" s="135"/>
      <c r="I2" s="135"/>
      <c r="J2" s="135"/>
      <c r="K2" s="135"/>
      <c r="L2" s="135"/>
      <c r="M2" s="135"/>
      <c r="N2" s="135"/>
      <c r="O2" s="135"/>
      <c r="P2" s="135"/>
      <c r="Q2" s="135"/>
      <c r="R2" s="137"/>
      <c r="S2" s="137"/>
      <c r="T2" s="139"/>
      <c r="U2" s="141"/>
    </row>
    <row r="3" spans="1:44" s="25" customFormat="1" ht="29.25" customHeight="1">
      <c r="B3" s="127" t="s">
        <v>16</v>
      </c>
      <c r="C3" s="127" t="s">
        <v>17</v>
      </c>
      <c r="D3" s="142" t="s">
        <v>18</v>
      </c>
      <c r="E3" s="127" t="s">
        <v>19</v>
      </c>
      <c r="F3" s="127"/>
      <c r="G3" s="127" t="s">
        <v>20</v>
      </c>
      <c r="H3" s="127"/>
      <c r="I3" s="127" t="s">
        <v>21</v>
      </c>
      <c r="J3" s="127"/>
      <c r="K3" s="128" t="s">
        <v>22</v>
      </c>
      <c r="L3" s="128"/>
      <c r="M3" s="127" t="s">
        <v>23</v>
      </c>
      <c r="N3" s="127"/>
      <c r="O3" s="129" t="s">
        <v>24</v>
      </c>
      <c r="P3" s="131" t="s">
        <v>25</v>
      </c>
      <c r="Q3" s="133" t="s">
        <v>26</v>
      </c>
      <c r="R3" s="117" t="s">
        <v>27</v>
      </c>
      <c r="S3" s="119" t="s">
        <v>28</v>
      </c>
      <c r="T3" s="121" t="s">
        <v>29</v>
      </c>
      <c r="U3" s="123" t="s">
        <v>30</v>
      </c>
    </row>
    <row r="4" spans="1:44" s="25" customFormat="1" ht="29.25" customHeight="1">
      <c r="B4" s="127"/>
      <c r="C4" s="127"/>
      <c r="D4" s="142"/>
      <c r="E4" s="26" t="s">
        <v>31</v>
      </c>
      <c r="F4" s="27" t="s">
        <v>32</v>
      </c>
      <c r="G4" s="26" t="s">
        <v>31</v>
      </c>
      <c r="H4" s="27" t="s">
        <v>32</v>
      </c>
      <c r="I4" s="26" t="s">
        <v>31</v>
      </c>
      <c r="J4" s="27" t="s">
        <v>32</v>
      </c>
      <c r="K4" s="26" t="s">
        <v>31</v>
      </c>
      <c r="L4" s="27" t="s">
        <v>32</v>
      </c>
      <c r="M4" s="26" t="s">
        <v>31</v>
      </c>
      <c r="N4" s="27" t="s">
        <v>32</v>
      </c>
      <c r="O4" s="130"/>
      <c r="P4" s="132"/>
      <c r="Q4" s="134"/>
      <c r="R4" s="118"/>
      <c r="S4" s="120"/>
      <c r="T4" s="122"/>
      <c r="U4" s="124"/>
    </row>
    <row r="5" spans="1:44" s="42" customFormat="1" ht="34.5" customHeight="1">
      <c r="A5" s="28"/>
      <c r="B5" s="29">
        <v>1</v>
      </c>
      <c r="C5" s="29" t="str">
        <f>'[1]B(근태)'!B7</f>
        <v>이영숙A</v>
      </c>
      <c r="D5" s="30">
        <f>'[1]B(근태)'!C7</f>
        <v>10320</v>
      </c>
      <c r="E5" s="31">
        <f>'[1]B(근태)'!AL7</f>
        <v>190</v>
      </c>
      <c r="F5" s="32">
        <f t="shared" ref="F5:F37" si="0">E5*D5</f>
        <v>1960800</v>
      </c>
      <c r="G5" s="33">
        <f>'[1]B(근태)'!AL8</f>
        <v>14</v>
      </c>
      <c r="H5" s="32">
        <f>D5*1.5*G5</f>
        <v>216720</v>
      </c>
      <c r="I5" s="34">
        <f>'[1]B(근태)'!AL9</f>
        <v>24</v>
      </c>
      <c r="J5" s="35">
        <f>D5*1.5*I5</f>
        <v>371520</v>
      </c>
      <c r="K5" s="34">
        <f>'[1]B(근태)'!AL10</f>
        <v>0</v>
      </c>
      <c r="L5" s="35">
        <f>K5*D5*1.5</f>
        <v>0</v>
      </c>
      <c r="M5" s="34">
        <f>'[1]B(근태)'!AL11</f>
        <v>0</v>
      </c>
      <c r="N5" s="35">
        <f>M5*D5*0.5</f>
        <v>0</v>
      </c>
      <c r="O5" s="35">
        <v>14000</v>
      </c>
      <c r="P5" s="36">
        <v>81700</v>
      </c>
      <c r="Q5" s="37">
        <f>SUM(F5,H5,J5,L5,O5,P5)</f>
        <v>2644740</v>
      </c>
      <c r="R5" s="38">
        <f>Q5*$R$1</f>
        <v>211579.2</v>
      </c>
      <c r="S5" s="39">
        <f>Q5*$S$1</f>
        <v>79342.2</v>
      </c>
      <c r="T5" s="40">
        <f>SUM(R5:S5)</f>
        <v>290921.40000000002</v>
      </c>
      <c r="U5" s="41">
        <f>ROUNDUP(SUM(Q5+T5),-1)</f>
        <v>2935670</v>
      </c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  <c r="AR5" s="28"/>
    </row>
    <row r="6" spans="1:44" s="42" customFormat="1" ht="34.5" customHeight="1">
      <c r="A6" s="28"/>
      <c r="B6" s="29">
        <v>2</v>
      </c>
      <c r="C6" s="29" t="str">
        <f>'[1]B(근태)'!B13</f>
        <v>신향화</v>
      </c>
      <c r="D6" s="30">
        <f>'[1]B(근태)'!C13</f>
        <v>10320</v>
      </c>
      <c r="E6" s="31">
        <f>'[1]B(근태)'!AL13</f>
        <v>190</v>
      </c>
      <c r="F6" s="32">
        <f t="shared" si="0"/>
        <v>1960800</v>
      </c>
      <c r="G6" s="33">
        <f>'[1]B(근태)'!AL14</f>
        <v>12</v>
      </c>
      <c r="H6" s="32">
        <f t="shared" ref="H6:H69" si="1">D6*1.5*G6</f>
        <v>185760</v>
      </c>
      <c r="I6" s="34">
        <f>'[1]B(근태)'!AL15</f>
        <v>32</v>
      </c>
      <c r="J6" s="35">
        <f t="shared" ref="J6:J69" si="2">D6*1.5*I6</f>
        <v>495360</v>
      </c>
      <c r="K6" s="34">
        <f>'[1]B(근태)'!AL16</f>
        <v>0</v>
      </c>
      <c r="L6" s="35">
        <f t="shared" ref="L6:L69" si="3">K6*D6*1.5</f>
        <v>0</v>
      </c>
      <c r="M6" s="34">
        <f>'[1]B(근태)'!AL17</f>
        <v>0</v>
      </c>
      <c r="N6" s="35">
        <f t="shared" ref="N6:N35" si="4">M6*D6*0.5</f>
        <v>0</v>
      </c>
      <c r="O6" s="35">
        <v>12000</v>
      </c>
      <c r="P6" s="36">
        <v>81700</v>
      </c>
      <c r="Q6" s="37">
        <f t="shared" ref="Q6:Q69" si="5">SUM(F6,H6,J6,L6,O6,P6)</f>
        <v>2735620</v>
      </c>
      <c r="R6" s="38">
        <f t="shared" ref="R6:R69" si="6">Q6*$R$1</f>
        <v>218849.6</v>
      </c>
      <c r="S6" s="39">
        <f t="shared" ref="S6:S69" si="7">Q6*$S$1</f>
        <v>82068.599999999991</v>
      </c>
      <c r="T6" s="40">
        <f>SUM(R6:S6)</f>
        <v>300918.2</v>
      </c>
      <c r="U6" s="41">
        <f>ROUNDUP(SUM(Q6+T6),-1)</f>
        <v>3036540</v>
      </c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</row>
    <row r="7" spans="1:44" s="42" customFormat="1" ht="34.5" customHeight="1">
      <c r="A7" s="28"/>
      <c r="B7" s="29">
        <v>3</v>
      </c>
      <c r="C7" s="29" t="str">
        <f>'[1]B(근태)'!B19</f>
        <v>강정희A</v>
      </c>
      <c r="D7" s="30">
        <f>'[1]B(근태)'!C19</f>
        <v>10320</v>
      </c>
      <c r="E7" s="31">
        <f>'[1]B(근태)'!AL19</f>
        <v>192</v>
      </c>
      <c r="F7" s="32">
        <f t="shared" si="0"/>
        <v>1981440</v>
      </c>
      <c r="G7" s="33">
        <f>'[1]B(근태)'!AL20</f>
        <v>14</v>
      </c>
      <c r="H7" s="32">
        <f t="shared" si="1"/>
        <v>216720</v>
      </c>
      <c r="I7" s="34">
        <f>'[1]B(근태)'!AL21</f>
        <v>24</v>
      </c>
      <c r="J7" s="35">
        <f t="shared" si="2"/>
        <v>371520</v>
      </c>
      <c r="K7" s="34">
        <f>'[1]B(근태)'!AL22</f>
        <v>0</v>
      </c>
      <c r="L7" s="35">
        <f t="shared" si="3"/>
        <v>0</v>
      </c>
      <c r="M7" s="34">
        <f>'[1]B(근태)'!AL23</f>
        <v>0</v>
      </c>
      <c r="N7" s="35">
        <f t="shared" si="4"/>
        <v>0</v>
      </c>
      <c r="O7" s="35">
        <v>14000</v>
      </c>
      <c r="P7" s="36">
        <v>82560</v>
      </c>
      <c r="Q7" s="37">
        <f t="shared" si="5"/>
        <v>2666240</v>
      </c>
      <c r="R7" s="38">
        <f t="shared" si="6"/>
        <v>213299.20000000001</v>
      </c>
      <c r="S7" s="39">
        <f t="shared" si="7"/>
        <v>79987.199999999997</v>
      </c>
      <c r="T7" s="40">
        <f t="shared" ref="T7:T69" si="8">SUM(R7:S7)</f>
        <v>293286.40000000002</v>
      </c>
      <c r="U7" s="41">
        <f t="shared" ref="U7:U69" si="9">ROUNDUP(SUM(Q7+T7),-1)</f>
        <v>2959530</v>
      </c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  <c r="AR7" s="28"/>
    </row>
    <row r="8" spans="1:44" s="42" customFormat="1" ht="34.5" customHeight="1">
      <c r="A8" s="28"/>
      <c r="B8" s="29">
        <v>4</v>
      </c>
      <c r="C8" s="29" t="str">
        <f>'[1]B(근태)'!B25</f>
        <v>박미순</v>
      </c>
      <c r="D8" s="30">
        <f>'[1]B(근태)'!C25</f>
        <v>10320</v>
      </c>
      <c r="E8" s="31">
        <f>'[1]B(근태)'!AL25</f>
        <v>190</v>
      </c>
      <c r="F8" s="32">
        <f t="shared" si="0"/>
        <v>1960800</v>
      </c>
      <c r="G8" s="33">
        <f>'[1]B(근태)'!AL26</f>
        <v>10</v>
      </c>
      <c r="H8" s="32">
        <f t="shared" si="1"/>
        <v>154800</v>
      </c>
      <c r="I8" s="34">
        <f>'[1]B(근태)'!AL27</f>
        <v>8</v>
      </c>
      <c r="J8" s="35">
        <f t="shared" si="2"/>
        <v>123840</v>
      </c>
      <c r="K8" s="34">
        <f>'[1]B(근태)'!AL28</f>
        <v>0</v>
      </c>
      <c r="L8" s="35">
        <f t="shared" si="3"/>
        <v>0</v>
      </c>
      <c r="M8" s="34">
        <f>'[1]B(근태)'!AL29</f>
        <v>0</v>
      </c>
      <c r="N8" s="35">
        <f t="shared" si="4"/>
        <v>0</v>
      </c>
      <c r="O8" s="35">
        <v>10000</v>
      </c>
      <c r="P8" s="36">
        <v>81700</v>
      </c>
      <c r="Q8" s="37">
        <f t="shared" si="5"/>
        <v>2331140</v>
      </c>
      <c r="R8" s="38">
        <f t="shared" si="6"/>
        <v>186491.2</v>
      </c>
      <c r="S8" s="39">
        <f t="shared" si="7"/>
        <v>69934.2</v>
      </c>
      <c r="T8" s="40">
        <f t="shared" si="8"/>
        <v>256425.40000000002</v>
      </c>
      <c r="U8" s="41">
        <f t="shared" si="9"/>
        <v>2587570</v>
      </c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  <c r="AR8" s="28"/>
    </row>
    <row r="9" spans="1:44" s="28" customFormat="1" ht="34.5" customHeight="1">
      <c r="B9" s="29">
        <v>5</v>
      </c>
      <c r="C9" s="29" t="str">
        <f>'[1]B(근태)'!B31</f>
        <v>김향숙</v>
      </c>
      <c r="D9" s="30">
        <f>'[1]B(근태)'!C31</f>
        <v>10320</v>
      </c>
      <c r="E9" s="31">
        <f>'[1]B(근태)'!AL31</f>
        <v>190</v>
      </c>
      <c r="F9" s="32">
        <f t="shared" si="0"/>
        <v>1960800</v>
      </c>
      <c r="G9" s="33">
        <f>'[1]B(근태)'!AL32</f>
        <v>12</v>
      </c>
      <c r="H9" s="32">
        <f t="shared" si="1"/>
        <v>185760</v>
      </c>
      <c r="I9" s="33">
        <f>'[1]B(근태)'!AL33</f>
        <v>32</v>
      </c>
      <c r="J9" s="35">
        <f t="shared" si="2"/>
        <v>495360</v>
      </c>
      <c r="K9" s="33">
        <f>'[1]B(근태)'!AL34</f>
        <v>0</v>
      </c>
      <c r="L9" s="35">
        <f t="shared" si="3"/>
        <v>0</v>
      </c>
      <c r="M9" s="33">
        <f>'[1]B(근태)'!AL35</f>
        <v>0</v>
      </c>
      <c r="N9" s="35">
        <f t="shared" si="4"/>
        <v>0</v>
      </c>
      <c r="O9" s="35">
        <v>12000</v>
      </c>
      <c r="P9" s="36">
        <v>81700</v>
      </c>
      <c r="Q9" s="37">
        <f t="shared" si="5"/>
        <v>2735620</v>
      </c>
      <c r="R9" s="38">
        <f t="shared" si="6"/>
        <v>218849.6</v>
      </c>
      <c r="S9" s="39">
        <f t="shared" si="7"/>
        <v>82068.599999999991</v>
      </c>
      <c r="T9" s="40">
        <f t="shared" si="8"/>
        <v>300918.2</v>
      </c>
      <c r="U9" s="41">
        <f t="shared" si="9"/>
        <v>3036540</v>
      </c>
    </row>
    <row r="10" spans="1:44" s="28" customFormat="1" ht="34.5" customHeight="1">
      <c r="B10" s="29">
        <v>6</v>
      </c>
      <c r="C10" s="29" t="str">
        <f>'[1]B(근태)'!B37</f>
        <v>이진희</v>
      </c>
      <c r="D10" s="30">
        <f>'[1]B(근태)'!C37</f>
        <v>10320</v>
      </c>
      <c r="E10" s="31">
        <f>'[1]B(근태)'!AL37</f>
        <v>176</v>
      </c>
      <c r="F10" s="32">
        <f t="shared" si="0"/>
        <v>1816320</v>
      </c>
      <c r="G10" s="33">
        <f>'[1]B(근태)'!AL38</f>
        <v>7.5</v>
      </c>
      <c r="H10" s="32">
        <f t="shared" si="1"/>
        <v>116100</v>
      </c>
      <c r="I10" s="33">
        <f>'[1]B(근태)'!AL39</f>
        <v>24</v>
      </c>
      <c r="J10" s="35">
        <f t="shared" si="2"/>
        <v>371520</v>
      </c>
      <c r="K10" s="33">
        <f>'[1]B(근태)'!AL40</f>
        <v>0</v>
      </c>
      <c r="L10" s="35">
        <f t="shared" si="3"/>
        <v>0</v>
      </c>
      <c r="M10" s="33">
        <f>'[1]B(근태)'!AL41</f>
        <v>0</v>
      </c>
      <c r="N10" s="35">
        <f t="shared" si="4"/>
        <v>0</v>
      </c>
      <c r="O10" s="32">
        <v>6000</v>
      </c>
      <c r="P10" s="36">
        <v>151360</v>
      </c>
      <c r="Q10" s="37">
        <f t="shared" si="5"/>
        <v>2461300</v>
      </c>
      <c r="R10" s="38">
        <f t="shared" si="6"/>
        <v>196904</v>
      </c>
      <c r="S10" s="39">
        <f t="shared" si="7"/>
        <v>73839</v>
      </c>
      <c r="T10" s="40">
        <f t="shared" si="8"/>
        <v>270743</v>
      </c>
      <c r="U10" s="41">
        <f t="shared" si="9"/>
        <v>2732050</v>
      </c>
    </row>
    <row r="11" spans="1:44" s="28" customFormat="1" ht="34.5" customHeight="1">
      <c r="B11" s="29">
        <v>7</v>
      </c>
      <c r="C11" s="29" t="str">
        <f>'[1]B(근태)'!B43</f>
        <v>류경화</v>
      </c>
      <c r="D11" s="30">
        <f>'[1]B(근태)'!C43</f>
        <v>10320</v>
      </c>
      <c r="E11" s="31">
        <f>'[1]B(근태)'!AL43</f>
        <v>192</v>
      </c>
      <c r="F11" s="32">
        <f t="shared" si="0"/>
        <v>1981440</v>
      </c>
      <c r="G11" s="33">
        <f>'[1]B(근태)'!AL44</f>
        <v>16</v>
      </c>
      <c r="H11" s="32">
        <f t="shared" si="1"/>
        <v>247680</v>
      </c>
      <c r="I11" s="33">
        <f>'[1]B(근태)'!AL45</f>
        <v>32</v>
      </c>
      <c r="J11" s="35">
        <f t="shared" si="2"/>
        <v>495360</v>
      </c>
      <c r="K11" s="33">
        <f>'[1]B(근태)'!AL46</f>
        <v>0</v>
      </c>
      <c r="L11" s="35">
        <f t="shared" si="3"/>
        <v>0</v>
      </c>
      <c r="M11" s="33">
        <f>'[1]B(근태)'!AL47</f>
        <v>0</v>
      </c>
      <c r="N11" s="35">
        <f t="shared" si="4"/>
        <v>0</v>
      </c>
      <c r="O11" s="35">
        <v>16000</v>
      </c>
      <c r="P11" s="36">
        <v>82560</v>
      </c>
      <c r="Q11" s="37">
        <f t="shared" si="5"/>
        <v>2823040</v>
      </c>
      <c r="R11" s="38">
        <f t="shared" si="6"/>
        <v>225843.20000000001</v>
      </c>
      <c r="S11" s="39">
        <f t="shared" si="7"/>
        <v>84691.199999999997</v>
      </c>
      <c r="T11" s="40">
        <f t="shared" si="8"/>
        <v>310534.40000000002</v>
      </c>
      <c r="U11" s="41">
        <f t="shared" si="9"/>
        <v>3133580</v>
      </c>
    </row>
    <row r="12" spans="1:44" s="28" customFormat="1" ht="34.5" customHeight="1">
      <c r="B12" s="29">
        <v>8</v>
      </c>
      <c r="C12" s="29" t="str">
        <f>'[1]B(근태)'!B49</f>
        <v>임연숙</v>
      </c>
      <c r="D12" s="30">
        <f>'[1]B(근태)'!C49</f>
        <v>10320</v>
      </c>
      <c r="E12" s="31">
        <f>'[1]B(근태)'!AL49</f>
        <v>192</v>
      </c>
      <c r="F12" s="32">
        <f t="shared" si="0"/>
        <v>1981440</v>
      </c>
      <c r="G12" s="33">
        <f>'[1]B(근태)'!AL50</f>
        <v>16</v>
      </c>
      <c r="H12" s="32">
        <f t="shared" si="1"/>
        <v>247680</v>
      </c>
      <c r="I12" s="33">
        <f>'[1]B(근태)'!AL51</f>
        <v>32</v>
      </c>
      <c r="J12" s="35">
        <f t="shared" si="2"/>
        <v>495360</v>
      </c>
      <c r="K12" s="33">
        <f>'[1]B(근태)'!AL52</f>
        <v>0</v>
      </c>
      <c r="L12" s="35">
        <f t="shared" si="3"/>
        <v>0</v>
      </c>
      <c r="M12" s="33">
        <f>'[1]B(근태)'!AL53</f>
        <v>0</v>
      </c>
      <c r="N12" s="35">
        <f t="shared" si="4"/>
        <v>0</v>
      </c>
      <c r="O12" s="35">
        <v>16000</v>
      </c>
      <c r="P12" s="36">
        <v>82560</v>
      </c>
      <c r="Q12" s="37">
        <f t="shared" si="5"/>
        <v>2823040</v>
      </c>
      <c r="R12" s="38">
        <f t="shared" si="6"/>
        <v>225843.20000000001</v>
      </c>
      <c r="S12" s="39">
        <f t="shared" si="7"/>
        <v>84691.199999999997</v>
      </c>
      <c r="T12" s="40">
        <f t="shared" si="8"/>
        <v>310534.40000000002</v>
      </c>
      <c r="U12" s="41">
        <f t="shared" si="9"/>
        <v>3133580</v>
      </c>
    </row>
    <row r="13" spans="1:44" s="28" customFormat="1" ht="34.5" customHeight="1">
      <c r="B13" s="29">
        <v>9</v>
      </c>
      <c r="C13" s="29" t="str">
        <f>'[1]B(근태)'!B55</f>
        <v>선두녀</v>
      </c>
      <c r="D13" s="30">
        <f>'[1]B(근태)'!C55</f>
        <v>10320</v>
      </c>
      <c r="E13" s="31">
        <f>'[1]B(근태)'!AL55</f>
        <v>190</v>
      </c>
      <c r="F13" s="32">
        <f t="shared" si="0"/>
        <v>1960800</v>
      </c>
      <c r="G13" s="33">
        <f>'[1]B(근태)'!AL56</f>
        <v>12</v>
      </c>
      <c r="H13" s="32">
        <f t="shared" si="1"/>
        <v>185760</v>
      </c>
      <c r="I13" s="33">
        <f>'[1]B(근태)'!AL57</f>
        <v>24</v>
      </c>
      <c r="J13" s="35">
        <f t="shared" si="2"/>
        <v>371520</v>
      </c>
      <c r="K13" s="33">
        <f>'[1]B(근태)'!AL58</f>
        <v>0</v>
      </c>
      <c r="L13" s="35">
        <f t="shared" si="3"/>
        <v>0</v>
      </c>
      <c r="M13" s="33">
        <f>'[1]B(근태)'!AL59</f>
        <v>0</v>
      </c>
      <c r="N13" s="35">
        <f t="shared" si="4"/>
        <v>0</v>
      </c>
      <c r="O13" s="35">
        <v>12000</v>
      </c>
      <c r="P13" s="36">
        <v>81700</v>
      </c>
      <c r="Q13" s="37">
        <f t="shared" si="5"/>
        <v>2611780</v>
      </c>
      <c r="R13" s="38">
        <f t="shared" si="6"/>
        <v>208942.4</v>
      </c>
      <c r="S13" s="39">
        <f t="shared" si="7"/>
        <v>78353.399999999994</v>
      </c>
      <c r="T13" s="40">
        <f t="shared" si="8"/>
        <v>287295.8</v>
      </c>
      <c r="U13" s="41">
        <f t="shared" si="9"/>
        <v>2899080</v>
      </c>
    </row>
    <row r="14" spans="1:44" s="28" customFormat="1" ht="34.5" customHeight="1">
      <c r="B14" s="29">
        <v>10</v>
      </c>
      <c r="C14" s="29" t="str">
        <f>'[1]B(근태)'!B61</f>
        <v>이영수</v>
      </c>
      <c r="D14" s="30">
        <f>'[1]B(근태)'!C61</f>
        <v>10320</v>
      </c>
      <c r="E14" s="31">
        <f>'[1]B(근태)'!AL61</f>
        <v>190</v>
      </c>
      <c r="F14" s="32">
        <f t="shared" si="0"/>
        <v>1960800</v>
      </c>
      <c r="G14" s="33">
        <f>'[1]B(근태)'!AL62</f>
        <v>14</v>
      </c>
      <c r="H14" s="32">
        <f t="shared" si="1"/>
        <v>216720</v>
      </c>
      <c r="I14" s="33">
        <f>'[1]B(근태)'!AL63</f>
        <v>24</v>
      </c>
      <c r="J14" s="35">
        <f t="shared" si="2"/>
        <v>371520</v>
      </c>
      <c r="K14" s="33">
        <f>'[1]B(근태)'!AL64</f>
        <v>0</v>
      </c>
      <c r="L14" s="35">
        <f t="shared" si="3"/>
        <v>0</v>
      </c>
      <c r="M14" s="33">
        <f>'[1]B(근태)'!AL65</f>
        <v>0</v>
      </c>
      <c r="N14" s="35">
        <f t="shared" si="4"/>
        <v>0</v>
      </c>
      <c r="O14" s="35">
        <v>14000</v>
      </c>
      <c r="P14" s="36">
        <v>81700</v>
      </c>
      <c r="Q14" s="37">
        <f t="shared" si="5"/>
        <v>2644740</v>
      </c>
      <c r="R14" s="38">
        <f t="shared" si="6"/>
        <v>211579.2</v>
      </c>
      <c r="S14" s="39">
        <f t="shared" si="7"/>
        <v>79342.2</v>
      </c>
      <c r="T14" s="40">
        <f t="shared" si="8"/>
        <v>290921.40000000002</v>
      </c>
      <c r="U14" s="41">
        <f t="shared" si="9"/>
        <v>2935670</v>
      </c>
    </row>
    <row r="15" spans="1:44" s="28" customFormat="1" ht="34.5" customHeight="1">
      <c r="B15" s="29">
        <v>11</v>
      </c>
      <c r="C15" s="29" t="str">
        <f>'[1]B(근태)'!B67</f>
        <v>이미영A</v>
      </c>
      <c r="D15" s="30">
        <f>'[1]B(근태)'!C67</f>
        <v>10320</v>
      </c>
      <c r="E15" s="31">
        <f>'[1]B(근태)'!AL67</f>
        <v>188</v>
      </c>
      <c r="F15" s="32">
        <f t="shared" si="0"/>
        <v>1940160</v>
      </c>
      <c r="G15" s="33">
        <f>'[1]B(근태)'!AL68</f>
        <v>10</v>
      </c>
      <c r="H15" s="32">
        <f t="shared" si="1"/>
        <v>154800</v>
      </c>
      <c r="I15" s="33">
        <f>'[1]B(근태)'!AL69</f>
        <v>16</v>
      </c>
      <c r="J15" s="35">
        <f t="shared" si="2"/>
        <v>247680</v>
      </c>
      <c r="K15" s="33">
        <f>'[1]B(근태)'!AL70</f>
        <v>0</v>
      </c>
      <c r="L15" s="35">
        <f t="shared" si="3"/>
        <v>0</v>
      </c>
      <c r="M15" s="33">
        <f>'[1]B(근태)'!AL71</f>
        <v>0</v>
      </c>
      <c r="N15" s="35">
        <f t="shared" si="4"/>
        <v>0</v>
      </c>
      <c r="O15" s="35">
        <v>10000</v>
      </c>
      <c r="P15" s="36">
        <v>80840</v>
      </c>
      <c r="Q15" s="37">
        <f t="shared" si="5"/>
        <v>2433480</v>
      </c>
      <c r="R15" s="38">
        <f t="shared" si="6"/>
        <v>194678.39999999999</v>
      </c>
      <c r="S15" s="39">
        <f t="shared" si="7"/>
        <v>73004.399999999994</v>
      </c>
      <c r="T15" s="40">
        <f t="shared" si="8"/>
        <v>267682.8</v>
      </c>
      <c r="U15" s="41">
        <f t="shared" si="9"/>
        <v>2701170</v>
      </c>
    </row>
    <row r="16" spans="1:44" s="28" customFormat="1" ht="34.5" customHeight="1">
      <c r="B16" s="29">
        <v>12</v>
      </c>
      <c r="C16" s="29" t="str">
        <f>'[1]B(근태)'!B73</f>
        <v>김연아
(찹밴티)</v>
      </c>
      <c r="D16" s="30">
        <f>'[1]B(근태)'!C73</f>
        <v>10320</v>
      </c>
      <c r="E16" s="31">
        <f>'[1]B(근태)'!AL73</f>
        <v>188</v>
      </c>
      <c r="F16" s="32">
        <f t="shared" si="0"/>
        <v>1940160</v>
      </c>
      <c r="G16" s="33">
        <f>'[1]B(근태)'!AL74</f>
        <v>8</v>
      </c>
      <c r="H16" s="32">
        <f t="shared" si="1"/>
        <v>123840</v>
      </c>
      <c r="I16" s="33">
        <f>'[1]B(근태)'!AL75</f>
        <v>32</v>
      </c>
      <c r="J16" s="35">
        <f t="shared" si="2"/>
        <v>495360</v>
      </c>
      <c r="K16" s="33">
        <f>'[1]B(근태)'!AL76</f>
        <v>0</v>
      </c>
      <c r="L16" s="35">
        <f t="shared" si="3"/>
        <v>0</v>
      </c>
      <c r="M16" s="33">
        <f>'[1]B(근태)'!AL77</f>
        <v>0</v>
      </c>
      <c r="N16" s="35">
        <f t="shared" si="4"/>
        <v>0</v>
      </c>
      <c r="O16" s="35">
        <v>8000</v>
      </c>
      <c r="P16" s="36">
        <v>80840</v>
      </c>
      <c r="Q16" s="37">
        <f t="shared" si="5"/>
        <v>2648200</v>
      </c>
      <c r="R16" s="38">
        <f t="shared" si="6"/>
        <v>211856</v>
      </c>
      <c r="S16" s="39">
        <f t="shared" si="7"/>
        <v>79446</v>
      </c>
      <c r="T16" s="40">
        <f t="shared" si="8"/>
        <v>291302</v>
      </c>
      <c r="U16" s="41">
        <f t="shared" si="9"/>
        <v>2939510</v>
      </c>
    </row>
    <row r="17" spans="2:21" s="28" customFormat="1" ht="34.5" customHeight="1">
      <c r="B17" s="29">
        <v>13</v>
      </c>
      <c r="C17" s="29" t="str">
        <f>'[1]B(근태)'!B79</f>
        <v>윤선희</v>
      </c>
      <c r="D17" s="30">
        <f>'[1]B(근태)'!C79</f>
        <v>10320</v>
      </c>
      <c r="E17" s="31">
        <f>'[1]B(근태)'!AL79</f>
        <v>190</v>
      </c>
      <c r="F17" s="32">
        <f t="shared" si="0"/>
        <v>1960800</v>
      </c>
      <c r="G17" s="33">
        <f>'[1]B(근태)'!AL80</f>
        <v>4</v>
      </c>
      <c r="H17" s="32">
        <f t="shared" si="1"/>
        <v>61920</v>
      </c>
      <c r="I17" s="33">
        <f>'[1]B(근태)'!AL81</f>
        <v>0</v>
      </c>
      <c r="J17" s="35">
        <f t="shared" si="2"/>
        <v>0</v>
      </c>
      <c r="K17" s="33">
        <f>'[1]B(근태)'!AL82</f>
        <v>0</v>
      </c>
      <c r="L17" s="35">
        <f t="shared" si="3"/>
        <v>0</v>
      </c>
      <c r="M17" s="33">
        <f>'[1]B(근태)'!AL83</f>
        <v>0</v>
      </c>
      <c r="N17" s="35">
        <f t="shared" si="4"/>
        <v>0</v>
      </c>
      <c r="O17" s="35">
        <v>4000</v>
      </c>
      <c r="P17" s="36">
        <v>81700</v>
      </c>
      <c r="Q17" s="37">
        <f t="shared" si="5"/>
        <v>2108420</v>
      </c>
      <c r="R17" s="38">
        <f t="shared" si="6"/>
        <v>168673.6</v>
      </c>
      <c r="S17" s="39">
        <f t="shared" si="7"/>
        <v>63252.6</v>
      </c>
      <c r="T17" s="40">
        <f t="shared" si="8"/>
        <v>231926.2</v>
      </c>
      <c r="U17" s="41">
        <f t="shared" si="9"/>
        <v>2340350</v>
      </c>
    </row>
    <row r="18" spans="2:21" s="28" customFormat="1" ht="34.5" customHeight="1">
      <c r="B18" s="29">
        <v>14</v>
      </c>
      <c r="C18" s="29" t="str">
        <f>'[1]B(근태)'!B85</f>
        <v>또아</v>
      </c>
      <c r="D18" s="30">
        <f>'[1]B(근태)'!C85</f>
        <v>10320</v>
      </c>
      <c r="E18" s="31">
        <f>'[1]B(근태)'!AL85</f>
        <v>144</v>
      </c>
      <c r="F18" s="32">
        <f t="shared" si="0"/>
        <v>1486080</v>
      </c>
      <c r="G18" s="33">
        <f>'[1]B(근태)'!AL86</f>
        <v>10</v>
      </c>
      <c r="H18" s="32">
        <f t="shared" si="1"/>
        <v>154800</v>
      </c>
      <c r="I18" s="33">
        <f>'[1]B(근태)'!AL87</f>
        <v>16</v>
      </c>
      <c r="J18" s="35">
        <f t="shared" si="2"/>
        <v>247680</v>
      </c>
      <c r="K18" s="33">
        <f>'[1]B(근태)'!AL88</f>
        <v>0</v>
      </c>
      <c r="L18" s="35">
        <f t="shared" si="3"/>
        <v>0</v>
      </c>
      <c r="M18" s="33">
        <f>'[1]B(근태)'!AL89</f>
        <v>0</v>
      </c>
      <c r="N18" s="35">
        <f t="shared" si="4"/>
        <v>0</v>
      </c>
      <c r="O18" s="35">
        <v>10000</v>
      </c>
      <c r="P18" s="43">
        <v>61920</v>
      </c>
      <c r="Q18" s="37">
        <f t="shared" si="5"/>
        <v>1960480</v>
      </c>
      <c r="R18" s="38">
        <f t="shared" si="6"/>
        <v>156838.39999999999</v>
      </c>
      <c r="S18" s="39">
        <f t="shared" si="7"/>
        <v>58814.400000000001</v>
      </c>
      <c r="T18" s="40">
        <f t="shared" si="8"/>
        <v>215652.8</v>
      </c>
      <c r="U18" s="41">
        <f t="shared" si="9"/>
        <v>2176140</v>
      </c>
    </row>
    <row r="19" spans="2:21" s="28" customFormat="1" ht="34.5" customHeight="1">
      <c r="B19" s="29">
        <v>15</v>
      </c>
      <c r="C19" s="29" t="str">
        <f>'[1]B(근태)'!B91</f>
        <v>김봉화</v>
      </c>
      <c r="D19" s="30">
        <f>'[1]B(근태)'!C91</f>
        <v>10320</v>
      </c>
      <c r="E19" s="31">
        <f>'[1]B(근태)'!AL91</f>
        <v>192</v>
      </c>
      <c r="F19" s="32">
        <f t="shared" si="0"/>
        <v>1981440</v>
      </c>
      <c r="G19" s="33">
        <f>'[1]B(근태)'!AL92</f>
        <v>17</v>
      </c>
      <c r="H19" s="32">
        <f t="shared" si="1"/>
        <v>263160</v>
      </c>
      <c r="I19" s="33">
        <f>'[1]B(근태)'!AL93</f>
        <v>32</v>
      </c>
      <c r="J19" s="35">
        <f t="shared" si="2"/>
        <v>495360</v>
      </c>
      <c r="K19" s="33">
        <f>'[1]B(근태)'!AL94</f>
        <v>0</v>
      </c>
      <c r="L19" s="35">
        <f t="shared" si="3"/>
        <v>0</v>
      </c>
      <c r="M19" s="33">
        <f>'[1]B(근태)'!AL95</f>
        <v>0</v>
      </c>
      <c r="N19" s="35">
        <f t="shared" si="4"/>
        <v>0</v>
      </c>
      <c r="O19" s="35">
        <v>16000</v>
      </c>
      <c r="P19" s="43">
        <v>165120</v>
      </c>
      <c r="Q19" s="37">
        <f t="shared" si="5"/>
        <v>2921080</v>
      </c>
      <c r="R19" s="38">
        <f t="shared" si="6"/>
        <v>233686.39999999999</v>
      </c>
      <c r="S19" s="39">
        <f t="shared" si="7"/>
        <v>87632.4</v>
      </c>
      <c r="T19" s="40">
        <f t="shared" si="8"/>
        <v>321318.8</v>
      </c>
      <c r="U19" s="41">
        <f t="shared" si="9"/>
        <v>3242400</v>
      </c>
    </row>
    <row r="20" spans="2:21" s="28" customFormat="1" ht="34.5" customHeight="1">
      <c r="B20" s="29">
        <v>16</v>
      </c>
      <c r="C20" s="29" t="str">
        <f>'[1]B(근태)'!B97</f>
        <v>이윤진</v>
      </c>
      <c r="D20" s="30">
        <f>'[1]B(근태)'!C97</f>
        <v>10320</v>
      </c>
      <c r="E20" s="31">
        <f>'[1]B(근태)'!AL97</f>
        <v>190</v>
      </c>
      <c r="F20" s="32">
        <f t="shared" si="0"/>
        <v>1960800</v>
      </c>
      <c r="G20" s="33">
        <f>'[1]B(근태)'!AL98</f>
        <v>12</v>
      </c>
      <c r="H20" s="32">
        <f t="shared" si="1"/>
        <v>185760</v>
      </c>
      <c r="I20" s="33">
        <f>'[1]B(근태)'!AL99</f>
        <v>32</v>
      </c>
      <c r="J20" s="35">
        <f t="shared" si="2"/>
        <v>495360</v>
      </c>
      <c r="K20" s="33">
        <f>'[1]B(근태)'!AL100</f>
        <v>0</v>
      </c>
      <c r="L20" s="35">
        <f t="shared" si="3"/>
        <v>0</v>
      </c>
      <c r="M20" s="33">
        <f>'[1]B(근태)'!AL101</f>
        <v>0</v>
      </c>
      <c r="N20" s="35">
        <f t="shared" si="4"/>
        <v>0</v>
      </c>
      <c r="O20" s="35">
        <v>12000</v>
      </c>
      <c r="P20" s="43">
        <v>81700</v>
      </c>
      <c r="Q20" s="37">
        <f t="shared" si="5"/>
        <v>2735620</v>
      </c>
      <c r="R20" s="38">
        <f t="shared" si="6"/>
        <v>218849.6</v>
      </c>
      <c r="S20" s="39">
        <f t="shared" si="7"/>
        <v>82068.599999999991</v>
      </c>
      <c r="T20" s="40">
        <f t="shared" si="8"/>
        <v>300918.2</v>
      </c>
      <c r="U20" s="41">
        <f t="shared" si="9"/>
        <v>3036540</v>
      </c>
    </row>
    <row r="21" spans="2:21" s="28" customFormat="1" ht="34.5" customHeight="1">
      <c r="B21" s="29">
        <v>17</v>
      </c>
      <c r="C21" s="29" t="str">
        <f>'[1]B(근태)'!B103</f>
        <v>이윤영</v>
      </c>
      <c r="D21" s="30">
        <f>'[1]B(근태)'!C103</f>
        <v>10320</v>
      </c>
      <c r="E21" s="31">
        <f>'[1]B(근태)'!AL103</f>
        <v>192</v>
      </c>
      <c r="F21" s="32">
        <f t="shared" si="0"/>
        <v>1981440</v>
      </c>
      <c r="G21" s="33">
        <f>'[1]B(근태)'!AL104</f>
        <v>16</v>
      </c>
      <c r="H21" s="32">
        <f t="shared" si="1"/>
        <v>247680</v>
      </c>
      <c r="I21" s="33">
        <f>'[1]B(근태)'!AL105</f>
        <v>32</v>
      </c>
      <c r="J21" s="35">
        <f t="shared" si="2"/>
        <v>495360</v>
      </c>
      <c r="K21" s="33">
        <f>'[1]B(근태)'!AL106</f>
        <v>0</v>
      </c>
      <c r="L21" s="35">
        <f t="shared" si="3"/>
        <v>0</v>
      </c>
      <c r="M21" s="33">
        <f>'[1]B(근태)'!AL107</f>
        <v>0</v>
      </c>
      <c r="N21" s="35">
        <f t="shared" si="4"/>
        <v>0</v>
      </c>
      <c r="O21" s="35">
        <v>16000</v>
      </c>
      <c r="P21" s="43">
        <v>82560</v>
      </c>
      <c r="Q21" s="37">
        <f t="shared" si="5"/>
        <v>2823040</v>
      </c>
      <c r="R21" s="38">
        <f t="shared" si="6"/>
        <v>225843.20000000001</v>
      </c>
      <c r="S21" s="39">
        <f t="shared" si="7"/>
        <v>84691.199999999997</v>
      </c>
      <c r="T21" s="40">
        <f t="shared" si="8"/>
        <v>310534.40000000002</v>
      </c>
      <c r="U21" s="41">
        <f t="shared" si="9"/>
        <v>3133580</v>
      </c>
    </row>
    <row r="22" spans="2:21" s="55" customFormat="1" ht="34.5" customHeight="1">
      <c r="B22" s="44">
        <v>18</v>
      </c>
      <c r="C22" s="44" t="str">
        <f>'[1]B(근태)'!B109</f>
        <v>김성실</v>
      </c>
      <c r="D22" s="45">
        <f>'[1]B(근태)'!C109</f>
        <v>10320</v>
      </c>
      <c r="E22" s="46">
        <f>'[1]B(근태)'!AL109</f>
        <v>174</v>
      </c>
      <c r="F22" s="47">
        <f t="shared" si="0"/>
        <v>1795680</v>
      </c>
      <c r="G22" s="48">
        <f>'[1]B(근태)'!AL110</f>
        <v>12</v>
      </c>
      <c r="H22" s="47">
        <f t="shared" si="1"/>
        <v>185760</v>
      </c>
      <c r="I22" s="48">
        <f>'[1]B(근태)'!AL111</f>
        <v>24</v>
      </c>
      <c r="J22" s="47">
        <f t="shared" si="2"/>
        <v>371520</v>
      </c>
      <c r="K22" s="48">
        <f>'[1]B(근태)'!AL112</f>
        <v>0</v>
      </c>
      <c r="L22" s="47">
        <f t="shared" si="3"/>
        <v>0</v>
      </c>
      <c r="M22" s="48">
        <f>'[1]B(근태)'!AL113</f>
        <v>0</v>
      </c>
      <c r="N22" s="47">
        <f t="shared" si="4"/>
        <v>0</v>
      </c>
      <c r="O22" s="47">
        <v>12000</v>
      </c>
      <c r="P22" s="49">
        <v>74820</v>
      </c>
      <c r="Q22" s="50">
        <f>SUM(F22,H22,J22,L22,O22,P22)</f>
        <v>2439780</v>
      </c>
      <c r="R22" s="51">
        <f t="shared" si="6"/>
        <v>195182.4</v>
      </c>
      <c r="S22" s="52">
        <f t="shared" si="7"/>
        <v>73193.399999999994</v>
      </c>
      <c r="T22" s="53">
        <f t="shared" si="8"/>
        <v>268375.8</v>
      </c>
      <c r="U22" s="54">
        <f t="shared" si="9"/>
        <v>2708160</v>
      </c>
    </row>
    <row r="23" spans="2:21" s="28" customFormat="1" ht="34.5" customHeight="1">
      <c r="B23" s="29">
        <v>19</v>
      </c>
      <c r="C23" s="29" t="str">
        <f>'[1]B(근태)'!B115</f>
        <v>박승미</v>
      </c>
      <c r="D23" s="30">
        <f>'[1]B(근태)'!C115</f>
        <v>10320</v>
      </c>
      <c r="E23" s="31">
        <f>'[1]B(근태)'!AL115</f>
        <v>192</v>
      </c>
      <c r="F23" s="32">
        <f t="shared" si="0"/>
        <v>1981440</v>
      </c>
      <c r="G23" s="33">
        <f>'[1]B(근태)'!AL116</f>
        <v>16</v>
      </c>
      <c r="H23" s="32">
        <f t="shared" si="1"/>
        <v>247680</v>
      </c>
      <c r="I23" s="33">
        <f>'[1]B(근태)'!AL117</f>
        <v>24</v>
      </c>
      <c r="J23" s="35">
        <f t="shared" si="2"/>
        <v>371520</v>
      </c>
      <c r="K23" s="33">
        <f>'[1]B(근태)'!AL118</f>
        <v>0</v>
      </c>
      <c r="L23" s="35">
        <f t="shared" si="3"/>
        <v>0</v>
      </c>
      <c r="M23" s="33">
        <f>'[1]B(근태)'!AL119</f>
        <v>0</v>
      </c>
      <c r="N23" s="35">
        <f t="shared" si="4"/>
        <v>0</v>
      </c>
      <c r="O23" s="35">
        <v>16000</v>
      </c>
      <c r="P23" s="43">
        <v>82560</v>
      </c>
      <c r="Q23" s="37">
        <f t="shared" si="5"/>
        <v>2699200</v>
      </c>
      <c r="R23" s="38">
        <f t="shared" si="6"/>
        <v>215936</v>
      </c>
      <c r="S23" s="39">
        <f t="shared" si="7"/>
        <v>80976</v>
      </c>
      <c r="T23" s="40">
        <f t="shared" si="8"/>
        <v>296912</v>
      </c>
      <c r="U23" s="41">
        <f t="shared" si="9"/>
        <v>2996120</v>
      </c>
    </row>
    <row r="24" spans="2:21" s="28" customFormat="1" ht="34.5" customHeight="1">
      <c r="B24" s="29">
        <v>20</v>
      </c>
      <c r="C24" s="29" t="str">
        <f>'[1]B(근태)'!B121</f>
        <v>김수희</v>
      </c>
      <c r="D24" s="30">
        <f>'[1]B(근태)'!C121</f>
        <v>10320</v>
      </c>
      <c r="E24" s="31">
        <f>'[1]B(근태)'!AL121</f>
        <v>158</v>
      </c>
      <c r="F24" s="32">
        <f t="shared" si="0"/>
        <v>1630560</v>
      </c>
      <c r="G24" s="33">
        <f>'[1]B(근태)'!AL122</f>
        <v>0</v>
      </c>
      <c r="H24" s="32">
        <f t="shared" si="1"/>
        <v>0</v>
      </c>
      <c r="I24" s="33">
        <f>'[1]B(근태)'!AL123</f>
        <v>24</v>
      </c>
      <c r="J24" s="35">
        <f t="shared" si="2"/>
        <v>371520</v>
      </c>
      <c r="K24" s="33">
        <f>'[1]B(근태)'!AL124</f>
        <v>51</v>
      </c>
      <c r="L24" s="35">
        <f t="shared" si="3"/>
        <v>789480</v>
      </c>
      <c r="M24" s="33">
        <f>'[1]B(근태)'!AL125</f>
        <v>0</v>
      </c>
      <c r="N24" s="35">
        <f t="shared" si="4"/>
        <v>0</v>
      </c>
      <c r="O24" s="35">
        <v>0</v>
      </c>
      <c r="P24" s="43">
        <v>67940</v>
      </c>
      <c r="Q24" s="37">
        <f t="shared" si="5"/>
        <v>2859500</v>
      </c>
      <c r="R24" s="38">
        <f t="shared" si="6"/>
        <v>228760</v>
      </c>
      <c r="S24" s="39">
        <f t="shared" si="7"/>
        <v>85785</v>
      </c>
      <c r="T24" s="40">
        <f t="shared" si="8"/>
        <v>314545</v>
      </c>
      <c r="U24" s="41">
        <f t="shared" si="9"/>
        <v>3174050</v>
      </c>
    </row>
    <row r="25" spans="2:21" s="28" customFormat="1" ht="34.5" customHeight="1">
      <c r="B25" s="29">
        <v>21</v>
      </c>
      <c r="C25" s="29" t="str">
        <f>'[1]B(근태)'!B127</f>
        <v>설홍매</v>
      </c>
      <c r="D25" s="30">
        <f>'[1]B(근태)'!C127</f>
        <v>10320</v>
      </c>
      <c r="E25" s="31">
        <f>'[1]B(근태)'!AL127</f>
        <v>190</v>
      </c>
      <c r="F25" s="32">
        <f t="shared" si="0"/>
        <v>1960800</v>
      </c>
      <c r="G25" s="33">
        <f>'[1]B(근태)'!AL128</f>
        <v>12</v>
      </c>
      <c r="H25" s="32">
        <f t="shared" si="1"/>
        <v>185760</v>
      </c>
      <c r="I25" s="33">
        <f>'[1]B(근태)'!AL129</f>
        <v>32</v>
      </c>
      <c r="J25" s="35">
        <f t="shared" si="2"/>
        <v>495360</v>
      </c>
      <c r="K25" s="33">
        <f>'[1]B(근태)'!AL130</f>
        <v>0</v>
      </c>
      <c r="L25" s="35">
        <f t="shared" si="3"/>
        <v>0</v>
      </c>
      <c r="M25" s="33">
        <f>'[1]B(근태)'!AL131</f>
        <v>0</v>
      </c>
      <c r="N25" s="35">
        <f t="shared" si="4"/>
        <v>0</v>
      </c>
      <c r="O25" s="35">
        <v>12000</v>
      </c>
      <c r="P25" s="43">
        <v>81700</v>
      </c>
      <c r="Q25" s="37">
        <f t="shared" si="5"/>
        <v>2735620</v>
      </c>
      <c r="R25" s="38">
        <f t="shared" si="6"/>
        <v>218849.6</v>
      </c>
      <c r="S25" s="39">
        <f t="shared" si="7"/>
        <v>82068.599999999991</v>
      </c>
      <c r="T25" s="40">
        <f t="shared" si="8"/>
        <v>300918.2</v>
      </c>
      <c r="U25" s="41">
        <f t="shared" si="9"/>
        <v>3036540</v>
      </c>
    </row>
    <row r="26" spans="2:21" s="62" customFormat="1" ht="34.5" customHeight="1">
      <c r="B26" s="56">
        <v>22</v>
      </c>
      <c r="C26" s="56" t="str">
        <f>'[1]B(근태)'!B133</f>
        <v>김구연</v>
      </c>
      <c r="D26" s="30">
        <f>'[1]B(근태)'!C133</f>
        <v>10320</v>
      </c>
      <c r="E26" s="31">
        <f>'[1]B(근태)'!AL133</f>
        <v>158</v>
      </c>
      <c r="F26" s="32">
        <f t="shared" si="0"/>
        <v>1630560</v>
      </c>
      <c r="G26" s="33">
        <f>'[1]B(근태)'!AL134</f>
        <v>0</v>
      </c>
      <c r="H26" s="32">
        <f t="shared" si="1"/>
        <v>0</v>
      </c>
      <c r="I26" s="33">
        <f>'[1]B(근태)'!AL135</f>
        <v>24</v>
      </c>
      <c r="J26" s="32">
        <f t="shared" si="2"/>
        <v>371520</v>
      </c>
      <c r="K26" s="33">
        <f>'[1]B(근태)'!AL136</f>
        <v>51</v>
      </c>
      <c r="L26" s="32">
        <f t="shared" si="3"/>
        <v>789480</v>
      </c>
      <c r="M26" s="33">
        <f>'[1]B(근태)'!AL137</f>
        <v>0</v>
      </c>
      <c r="N26" s="32">
        <f t="shared" si="4"/>
        <v>0</v>
      </c>
      <c r="O26" s="57">
        <f>96000+66000</f>
        <v>162000</v>
      </c>
      <c r="P26" s="43">
        <v>67940</v>
      </c>
      <c r="Q26" s="37">
        <f t="shared" si="5"/>
        <v>3021500</v>
      </c>
      <c r="R26" s="58">
        <f t="shared" si="6"/>
        <v>241720</v>
      </c>
      <c r="S26" s="59">
        <f t="shared" si="7"/>
        <v>90645</v>
      </c>
      <c r="T26" s="60">
        <f t="shared" si="8"/>
        <v>332365</v>
      </c>
      <c r="U26" s="61">
        <f t="shared" si="9"/>
        <v>3353870</v>
      </c>
    </row>
    <row r="27" spans="2:21" s="28" customFormat="1" ht="34.5" customHeight="1">
      <c r="B27" s="29">
        <v>23</v>
      </c>
      <c r="C27" s="29" t="str">
        <f>'[1]B(근태)'!B139</f>
        <v>조행연</v>
      </c>
      <c r="D27" s="30">
        <f>'[1]B(근태)'!C139</f>
        <v>10320</v>
      </c>
      <c r="E27" s="31">
        <f>'[1]B(근태)'!AL139</f>
        <v>192</v>
      </c>
      <c r="F27" s="32">
        <f t="shared" si="0"/>
        <v>1981440</v>
      </c>
      <c r="G27" s="33">
        <f>'[1]B(근태)'!AL140</f>
        <v>14</v>
      </c>
      <c r="H27" s="32">
        <f t="shared" si="1"/>
        <v>216720</v>
      </c>
      <c r="I27" s="33">
        <f>'[1]B(근태)'!AL141</f>
        <v>32</v>
      </c>
      <c r="J27" s="35">
        <f t="shared" si="2"/>
        <v>495360</v>
      </c>
      <c r="K27" s="33">
        <f>'[1]B(근태)'!AL142</f>
        <v>0</v>
      </c>
      <c r="L27" s="35">
        <f t="shared" si="3"/>
        <v>0</v>
      </c>
      <c r="M27" s="33">
        <f>'[1]B(근태)'!AL143</f>
        <v>0</v>
      </c>
      <c r="N27" s="35">
        <f t="shared" si="4"/>
        <v>0</v>
      </c>
      <c r="O27" s="35">
        <v>14000</v>
      </c>
      <c r="P27" s="43">
        <v>82560</v>
      </c>
      <c r="Q27" s="37">
        <f t="shared" si="5"/>
        <v>2790080</v>
      </c>
      <c r="R27" s="38">
        <f t="shared" si="6"/>
        <v>223206.39999999999</v>
      </c>
      <c r="S27" s="39">
        <f t="shared" si="7"/>
        <v>83702.399999999994</v>
      </c>
      <c r="T27" s="40">
        <f t="shared" si="8"/>
        <v>306908.79999999999</v>
      </c>
      <c r="U27" s="41">
        <f t="shared" si="9"/>
        <v>3096990</v>
      </c>
    </row>
    <row r="28" spans="2:21" s="28" customFormat="1" ht="34.5" customHeight="1">
      <c r="B28" s="29">
        <v>24</v>
      </c>
      <c r="C28" s="29" t="str">
        <f>'[1]B(근태)'!B145</f>
        <v>김성경2</v>
      </c>
      <c r="D28" s="30">
        <f>'[1]B(근태)'!C145</f>
        <v>10320</v>
      </c>
      <c r="E28" s="31">
        <f>'[1]B(근태)'!AL145</f>
        <v>190</v>
      </c>
      <c r="F28" s="32">
        <f>E28*D28</f>
        <v>1960800</v>
      </c>
      <c r="G28" s="33">
        <f>'[1]B(근태)'!AL146</f>
        <v>14</v>
      </c>
      <c r="H28" s="32">
        <f t="shared" si="1"/>
        <v>216720</v>
      </c>
      <c r="I28" s="33">
        <f>'[1]B(근태)'!AL147</f>
        <v>16</v>
      </c>
      <c r="J28" s="35">
        <f t="shared" si="2"/>
        <v>247680</v>
      </c>
      <c r="K28" s="33">
        <f>'[1]B(근태)'!AL148</f>
        <v>0</v>
      </c>
      <c r="L28" s="35">
        <f t="shared" si="3"/>
        <v>0</v>
      </c>
      <c r="M28" s="33">
        <f>'[1]B(근태)'!AL149</f>
        <v>0</v>
      </c>
      <c r="N28" s="35">
        <f t="shared" si="4"/>
        <v>0</v>
      </c>
      <c r="O28" s="35">
        <v>14000</v>
      </c>
      <c r="P28" s="43"/>
      <c r="Q28" s="37">
        <f t="shared" si="5"/>
        <v>2439200</v>
      </c>
      <c r="R28" s="38">
        <f t="shared" si="6"/>
        <v>195136</v>
      </c>
      <c r="S28" s="39">
        <f t="shared" si="7"/>
        <v>73176</v>
      </c>
      <c r="T28" s="40">
        <f t="shared" si="8"/>
        <v>268312</v>
      </c>
      <c r="U28" s="41">
        <f t="shared" si="9"/>
        <v>2707520</v>
      </c>
    </row>
    <row r="29" spans="2:21" s="28" customFormat="1" ht="34.5" customHeight="1">
      <c r="B29" s="29">
        <v>25</v>
      </c>
      <c r="C29" s="29" t="str">
        <f>'[1]B(근태)'!B151</f>
        <v>김현순</v>
      </c>
      <c r="D29" s="30">
        <f>'[1]B(근태)'!C151</f>
        <v>10320</v>
      </c>
      <c r="E29" s="31">
        <f>'[1]B(근태)'!AL151</f>
        <v>190</v>
      </c>
      <c r="F29" s="32">
        <f t="shared" si="0"/>
        <v>1960800</v>
      </c>
      <c r="G29" s="33">
        <f>'[1]B(근태)'!AL152</f>
        <v>14</v>
      </c>
      <c r="H29" s="32">
        <f t="shared" si="1"/>
        <v>216720</v>
      </c>
      <c r="I29" s="33">
        <f>'[1]B(근태)'!AL153</f>
        <v>32</v>
      </c>
      <c r="J29" s="35">
        <f t="shared" si="2"/>
        <v>495360</v>
      </c>
      <c r="K29" s="33">
        <f>'[1]B(근태)'!AL154</f>
        <v>0</v>
      </c>
      <c r="L29" s="35">
        <f t="shared" si="3"/>
        <v>0</v>
      </c>
      <c r="M29" s="33">
        <f>'[1]B(근태)'!AL155</f>
        <v>0</v>
      </c>
      <c r="N29" s="35">
        <f t="shared" si="4"/>
        <v>0</v>
      </c>
      <c r="O29" s="35">
        <v>14000</v>
      </c>
      <c r="P29" s="36"/>
      <c r="Q29" s="37">
        <f t="shared" si="5"/>
        <v>2686880</v>
      </c>
      <c r="R29" s="38">
        <f t="shared" si="6"/>
        <v>214950.39999999999</v>
      </c>
      <c r="S29" s="39">
        <f t="shared" si="7"/>
        <v>80606.399999999994</v>
      </c>
      <c r="T29" s="40">
        <f t="shared" si="8"/>
        <v>295556.8</v>
      </c>
      <c r="U29" s="41">
        <f t="shared" si="9"/>
        <v>2982440</v>
      </c>
    </row>
    <row r="30" spans="2:21" s="28" customFormat="1" ht="34.5" customHeight="1">
      <c r="B30" s="29">
        <v>26</v>
      </c>
      <c r="C30" s="29" t="str">
        <f>'[1]B(근태)'!B157</f>
        <v>장희숙</v>
      </c>
      <c r="D30" s="30">
        <f>'[1]B(근태)'!C157</f>
        <v>10320</v>
      </c>
      <c r="E30" s="31">
        <f>'[1]B(근태)'!AL157</f>
        <v>192</v>
      </c>
      <c r="F30" s="32">
        <f t="shared" si="0"/>
        <v>1981440</v>
      </c>
      <c r="G30" s="33">
        <f>'[1]B(근태)'!AL158</f>
        <v>4</v>
      </c>
      <c r="H30" s="32">
        <f t="shared" si="1"/>
        <v>61920</v>
      </c>
      <c r="I30" s="33">
        <f>'[1]B(근태)'!AL159</f>
        <v>24</v>
      </c>
      <c r="J30" s="35">
        <f t="shared" si="2"/>
        <v>371520</v>
      </c>
      <c r="K30" s="33">
        <f>'[1]B(근태)'!AL160</f>
        <v>0</v>
      </c>
      <c r="L30" s="35">
        <f t="shared" si="3"/>
        <v>0</v>
      </c>
      <c r="M30" s="33">
        <f>'[1]B(근태)'!AL161</f>
        <v>0</v>
      </c>
      <c r="N30" s="35">
        <f t="shared" si="4"/>
        <v>0</v>
      </c>
      <c r="O30" s="35">
        <v>4000</v>
      </c>
      <c r="P30" s="36"/>
      <c r="Q30" s="37">
        <f t="shared" si="5"/>
        <v>2418880</v>
      </c>
      <c r="R30" s="38">
        <f t="shared" si="6"/>
        <v>193510.39999999999</v>
      </c>
      <c r="S30" s="39">
        <f t="shared" si="7"/>
        <v>72566.399999999994</v>
      </c>
      <c r="T30" s="40">
        <f t="shared" si="8"/>
        <v>266076.79999999999</v>
      </c>
      <c r="U30" s="41">
        <f t="shared" si="9"/>
        <v>2684960</v>
      </c>
    </row>
    <row r="31" spans="2:21" s="28" customFormat="1" ht="34.5" customHeight="1">
      <c r="B31" s="29">
        <v>27</v>
      </c>
      <c r="C31" s="29" t="str">
        <f>'[1]B(근태)'!B163</f>
        <v>김수정B</v>
      </c>
      <c r="D31" s="30">
        <f>'[1]B(근태)'!C163</f>
        <v>10320</v>
      </c>
      <c r="E31" s="31">
        <f>'[1]B(근태)'!AL163</f>
        <v>192</v>
      </c>
      <c r="F31" s="32">
        <f t="shared" si="0"/>
        <v>1981440</v>
      </c>
      <c r="G31" s="33">
        <f>'[1]B(근태)'!AL164</f>
        <v>16</v>
      </c>
      <c r="H31" s="32">
        <f t="shared" si="1"/>
        <v>247680</v>
      </c>
      <c r="I31" s="33">
        <f>'[1]B(근태)'!AL165</f>
        <v>8</v>
      </c>
      <c r="J31" s="35">
        <f t="shared" si="2"/>
        <v>123840</v>
      </c>
      <c r="K31" s="33">
        <f>'[1]B(근태)'!AL166</f>
        <v>0</v>
      </c>
      <c r="L31" s="35">
        <f t="shared" si="3"/>
        <v>0</v>
      </c>
      <c r="M31" s="33">
        <f>'[1]B(근태)'!AL167</f>
        <v>0</v>
      </c>
      <c r="N31" s="35">
        <f t="shared" si="4"/>
        <v>0</v>
      </c>
      <c r="O31" s="35">
        <v>16000</v>
      </c>
      <c r="P31" s="36"/>
      <c r="Q31" s="37">
        <f t="shared" si="5"/>
        <v>2368960</v>
      </c>
      <c r="R31" s="38">
        <f t="shared" si="6"/>
        <v>189516.80000000002</v>
      </c>
      <c r="S31" s="39">
        <f t="shared" si="7"/>
        <v>71068.800000000003</v>
      </c>
      <c r="T31" s="40">
        <f t="shared" si="8"/>
        <v>260585.60000000003</v>
      </c>
      <c r="U31" s="41">
        <f t="shared" si="9"/>
        <v>2629550</v>
      </c>
    </row>
    <row r="32" spans="2:21" s="28" customFormat="1" ht="34.5" customHeight="1">
      <c r="B32" s="29">
        <v>28</v>
      </c>
      <c r="C32" s="29" t="str">
        <f>'[1]B(근태)'!B169</f>
        <v>박서원B</v>
      </c>
      <c r="D32" s="30">
        <f>'[1]B(근태)'!C169</f>
        <v>10320</v>
      </c>
      <c r="E32" s="31">
        <f>'[1]B(근태)'!AL169</f>
        <v>182</v>
      </c>
      <c r="F32" s="32">
        <f t="shared" si="0"/>
        <v>1878240</v>
      </c>
      <c r="G32" s="33">
        <f>'[1]B(근태)'!AL170</f>
        <v>15</v>
      </c>
      <c r="H32" s="32">
        <f t="shared" si="1"/>
        <v>232200</v>
      </c>
      <c r="I32" s="33">
        <f>'[1]B(근태)'!AL171</f>
        <v>32</v>
      </c>
      <c r="J32" s="35">
        <f t="shared" si="2"/>
        <v>495360</v>
      </c>
      <c r="K32" s="33">
        <f>'[1]B(근태)'!AL172</f>
        <v>0</v>
      </c>
      <c r="L32" s="35">
        <f t="shared" si="3"/>
        <v>0</v>
      </c>
      <c r="M32" s="33">
        <f>'[1]B(근태)'!AL173</f>
        <v>0</v>
      </c>
      <c r="N32" s="35">
        <f t="shared" si="4"/>
        <v>0</v>
      </c>
      <c r="O32" s="32">
        <v>14000</v>
      </c>
      <c r="P32" s="36"/>
      <c r="Q32" s="37">
        <f t="shared" si="5"/>
        <v>2619800</v>
      </c>
      <c r="R32" s="38">
        <f t="shared" si="6"/>
        <v>209584</v>
      </c>
      <c r="S32" s="39">
        <f t="shared" si="7"/>
        <v>78594</v>
      </c>
      <c r="T32" s="40">
        <f t="shared" si="8"/>
        <v>288178</v>
      </c>
      <c r="U32" s="41">
        <f t="shared" si="9"/>
        <v>2907980</v>
      </c>
    </row>
    <row r="33" spans="2:21" s="28" customFormat="1" ht="34.5" customHeight="1">
      <c r="B33" s="29">
        <v>29</v>
      </c>
      <c r="C33" s="29" t="str">
        <f>'[1]B(근태)'!B175</f>
        <v>최삼순</v>
      </c>
      <c r="D33" s="30">
        <f>'[1]B(근태)'!C175</f>
        <v>10320</v>
      </c>
      <c r="E33" s="31">
        <f>'[1]B(근태)'!AL175</f>
        <v>183</v>
      </c>
      <c r="F33" s="32">
        <f t="shared" si="0"/>
        <v>1888560</v>
      </c>
      <c r="G33" s="33">
        <f>'[1]B(근태)'!AL176</f>
        <v>12</v>
      </c>
      <c r="H33" s="32">
        <f t="shared" si="1"/>
        <v>185760</v>
      </c>
      <c r="I33" s="33">
        <f>'[1]B(근태)'!AL177</f>
        <v>32</v>
      </c>
      <c r="J33" s="35">
        <f t="shared" si="2"/>
        <v>495360</v>
      </c>
      <c r="K33" s="33">
        <f>'[1]B(근태)'!AL178</f>
        <v>0</v>
      </c>
      <c r="L33" s="35">
        <f t="shared" si="3"/>
        <v>0</v>
      </c>
      <c r="M33" s="33">
        <f>'[1]B(근태)'!AL179</f>
        <v>0</v>
      </c>
      <c r="N33" s="35">
        <f t="shared" si="4"/>
        <v>0</v>
      </c>
      <c r="O33" s="35">
        <v>12000</v>
      </c>
      <c r="P33" s="36"/>
      <c r="Q33" s="37">
        <f t="shared" si="5"/>
        <v>2581680</v>
      </c>
      <c r="R33" s="38">
        <f t="shared" si="6"/>
        <v>206534.39999999999</v>
      </c>
      <c r="S33" s="39">
        <f t="shared" si="7"/>
        <v>77450.399999999994</v>
      </c>
      <c r="T33" s="40">
        <f t="shared" si="8"/>
        <v>283984.8</v>
      </c>
      <c r="U33" s="41">
        <f t="shared" si="9"/>
        <v>2865670</v>
      </c>
    </row>
    <row r="34" spans="2:21" s="28" customFormat="1" ht="34.5" customHeight="1">
      <c r="B34" s="29">
        <v>30</v>
      </c>
      <c r="C34" s="29" t="str">
        <f>'[1]B(근태)'!B181</f>
        <v>프라타레네린</v>
      </c>
      <c r="D34" s="30">
        <f>'[1]B(근태)'!C181</f>
        <v>10320</v>
      </c>
      <c r="E34" s="31">
        <f>'[1]B(근태)'!AL181</f>
        <v>190</v>
      </c>
      <c r="F34" s="32">
        <f t="shared" si="0"/>
        <v>1960800</v>
      </c>
      <c r="G34" s="33">
        <f>'[1]B(근태)'!AL182</f>
        <v>12</v>
      </c>
      <c r="H34" s="32">
        <f t="shared" si="1"/>
        <v>185760</v>
      </c>
      <c r="I34" s="33">
        <f>'[1]B(근태)'!AL183</f>
        <v>0</v>
      </c>
      <c r="J34" s="35">
        <f t="shared" si="2"/>
        <v>0</v>
      </c>
      <c r="K34" s="33">
        <f>'[1]B(근태)'!AL184</f>
        <v>0</v>
      </c>
      <c r="L34" s="35">
        <f t="shared" si="3"/>
        <v>0</v>
      </c>
      <c r="M34" s="33">
        <f>'[1]B(근태)'!AL185</f>
        <v>0</v>
      </c>
      <c r="N34" s="35">
        <f t="shared" si="4"/>
        <v>0</v>
      </c>
      <c r="O34" s="35">
        <v>12000</v>
      </c>
      <c r="P34" s="36"/>
      <c r="Q34" s="37">
        <f t="shared" si="5"/>
        <v>2158560</v>
      </c>
      <c r="R34" s="38">
        <f t="shared" si="6"/>
        <v>172684.80000000002</v>
      </c>
      <c r="S34" s="39">
        <f t="shared" si="7"/>
        <v>64756.799999999996</v>
      </c>
      <c r="T34" s="40">
        <f t="shared" si="8"/>
        <v>237441.6</v>
      </c>
      <c r="U34" s="41">
        <f t="shared" si="9"/>
        <v>2396010</v>
      </c>
    </row>
    <row r="35" spans="2:21" s="28" customFormat="1" ht="34.5" customHeight="1">
      <c r="B35" s="29">
        <v>31</v>
      </c>
      <c r="C35" s="29" t="str">
        <f>'[1]B(근태)'!B187</f>
        <v>육은심</v>
      </c>
      <c r="D35" s="30">
        <f>'[1]B(근태)'!C187</f>
        <v>10320</v>
      </c>
      <c r="E35" s="31">
        <f>'[1]B(근태)'!AL187</f>
        <v>190</v>
      </c>
      <c r="F35" s="32">
        <f t="shared" si="0"/>
        <v>1960800</v>
      </c>
      <c r="G35" s="33">
        <f>'[1]B(근태)'!AL188</f>
        <v>12</v>
      </c>
      <c r="H35" s="32">
        <f t="shared" si="1"/>
        <v>185760</v>
      </c>
      <c r="I35" s="33">
        <f>'[1]B(근태)'!AL189</f>
        <v>24</v>
      </c>
      <c r="J35" s="35">
        <f t="shared" si="2"/>
        <v>371520</v>
      </c>
      <c r="K35" s="33">
        <f>'[1]B(근태)'!AL190</f>
        <v>0</v>
      </c>
      <c r="L35" s="35">
        <f t="shared" si="3"/>
        <v>0</v>
      </c>
      <c r="M35" s="33">
        <f>'[1]B(근태)'!AL191</f>
        <v>0</v>
      </c>
      <c r="N35" s="35">
        <f t="shared" si="4"/>
        <v>0</v>
      </c>
      <c r="O35" s="35">
        <v>12000</v>
      </c>
      <c r="P35" s="36"/>
      <c r="Q35" s="37">
        <f t="shared" si="5"/>
        <v>2530080</v>
      </c>
      <c r="R35" s="38">
        <f t="shared" si="6"/>
        <v>202406.39999999999</v>
      </c>
      <c r="S35" s="39">
        <f t="shared" si="7"/>
        <v>75902.399999999994</v>
      </c>
      <c r="T35" s="40">
        <f t="shared" si="8"/>
        <v>278308.8</v>
      </c>
      <c r="U35" s="41">
        <f t="shared" si="9"/>
        <v>2808390</v>
      </c>
    </row>
    <row r="36" spans="2:21" s="28" customFormat="1" ht="34.5" customHeight="1">
      <c r="B36" s="29">
        <v>32</v>
      </c>
      <c r="C36" s="29" t="str">
        <f>'[1]B(근태)'!B193</f>
        <v>김수현C</v>
      </c>
      <c r="D36" s="30">
        <f>'[1]B(근태)'!C193</f>
        <v>10320</v>
      </c>
      <c r="E36" s="31">
        <f>'[1]B(근태)'!AL193</f>
        <v>190</v>
      </c>
      <c r="F36" s="32">
        <f t="shared" si="0"/>
        <v>1960800</v>
      </c>
      <c r="G36" s="33">
        <f>'[1]B(근태)'!AL194</f>
        <v>10</v>
      </c>
      <c r="H36" s="32">
        <f t="shared" si="1"/>
        <v>154800</v>
      </c>
      <c r="I36" s="33">
        <f>'[1]B(근태)'!AL195</f>
        <v>0</v>
      </c>
      <c r="J36" s="35">
        <f t="shared" si="2"/>
        <v>0</v>
      </c>
      <c r="K36" s="33">
        <f>'[1]B(근태)'!AL196</f>
        <v>0</v>
      </c>
      <c r="L36" s="35">
        <f t="shared" si="3"/>
        <v>0</v>
      </c>
      <c r="M36" s="33">
        <f>'[1]B(근태)'!AL197</f>
        <v>0</v>
      </c>
      <c r="N36" s="32">
        <f t="shared" ref="N36:N99" si="10">M36*D36*2</f>
        <v>0</v>
      </c>
      <c r="O36" s="35">
        <v>10000</v>
      </c>
      <c r="P36" s="36"/>
      <c r="Q36" s="37">
        <f t="shared" si="5"/>
        <v>2125600</v>
      </c>
      <c r="R36" s="38">
        <f t="shared" si="6"/>
        <v>170048</v>
      </c>
      <c r="S36" s="39">
        <f t="shared" si="7"/>
        <v>63768</v>
      </c>
      <c r="T36" s="40">
        <f t="shared" si="8"/>
        <v>233816</v>
      </c>
      <c r="U36" s="41">
        <f t="shared" si="9"/>
        <v>2359420</v>
      </c>
    </row>
    <row r="37" spans="2:21" s="28" customFormat="1" ht="34.5" customHeight="1">
      <c r="B37" s="29">
        <v>33</v>
      </c>
      <c r="C37" s="29" t="str">
        <f>'[1]B(근태)'!B199</f>
        <v>한계숙</v>
      </c>
      <c r="D37" s="30">
        <f>'[1]B(근태)'!C199</f>
        <v>10320</v>
      </c>
      <c r="E37" s="31">
        <f>'[1]B(근태)'!AL199</f>
        <v>192</v>
      </c>
      <c r="F37" s="32">
        <f t="shared" si="0"/>
        <v>1981440</v>
      </c>
      <c r="G37" s="33">
        <f>'[1]B(근태)'!AL200</f>
        <v>16</v>
      </c>
      <c r="H37" s="32">
        <f t="shared" si="1"/>
        <v>247680</v>
      </c>
      <c r="I37" s="33">
        <f>'[1]B(근태)'!AL201</f>
        <v>32</v>
      </c>
      <c r="J37" s="35">
        <f t="shared" si="2"/>
        <v>495360</v>
      </c>
      <c r="K37" s="33">
        <f>'[1]B(근태)'!AL202</f>
        <v>0</v>
      </c>
      <c r="L37" s="35">
        <f t="shared" si="3"/>
        <v>0</v>
      </c>
      <c r="M37" s="33">
        <f>'[1]B(근태)'!AL203</f>
        <v>0</v>
      </c>
      <c r="N37" s="32">
        <f t="shared" si="10"/>
        <v>0</v>
      </c>
      <c r="O37" s="35">
        <v>16000</v>
      </c>
      <c r="P37" s="43">
        <v>82560</v>
      </c>
      <c r="Q37" s="37">
        <f t="shared" si="5"/>
        <v>2823040</v>
      </c>
      <c r="R37" s="38">
        <f t="shared" si="6"/>
        <v>225843.20000000001</v>
      </c>
      <c r="S37" s="39">
        <f t="shared" si="7"/>
        <v>84691.199999999997</v>
      </c>
      <c r="T37" s="40">
        <f t="shared" si="8"/>
        <v>310534.40000000002</v>
      </c>
      <c r="U37" s="41">
        <f t="shared" si="9"/>
        <v>3133580</v>
      </c>
    </row>
    <row r="38" spans="2:21" s="28" customFormat="1" ht="34.5" customHeight="1">
      <c r="B38" s="29">
        <v>34</v>
      </c>
      <c r="C38" s="29" t="str">
        <f>'[1]B(근태)'!B205</f>
        <v>풍춘향</v>
      </c>
      <c r="D38" s="30">
        <f>'[1]B(근태)'!C205</f>
        <v>10320</v>
      </c>
      <c r="E38" s="31">
        <f>'[1]B(근태)'!AL205</f>
        <v>190</v>
      </c>
      <c r="F38" s="32">
        <f>E38*D38</f>
        <v>1960800</v>
      </c>
      <c r="G38" s="33">
        <f>'[1]B(근태)'!AL206</f>
        <v>12</v>
      </c>
      <c r="H38" s="32">
        <f t="shared" si="1"/>
        <v>185760</v>
      </c>
      <c r="I38" s="33">
        <f>'[1]B(근태)'!AL207</f>
        <v>32</v>
      </c>
      <c r="J38" s="35">
        <f t="shared" si="2"/>
        <v>495360</v>
      </c>
      <c r="K38" s="33">
        <f>'[1]B(근태)'!AL208</f>
        <v>0</v>
      </c>
      <c r="L38" s="35">
        <f t="shared" si="3"/>
        <v>0</v>
      </c>
      <c r="M38" s="33">
        <f>'[1]B(근태)'!AL209</f>
        <v>0</v>
      </c>
      <c r="N38" s="32">
        <f t="shared" si="10"/>
        <v>0</v>
      </c>
      <c r="O38" s="35">
        <v>12000</v>
      </c>
      <c r="P38" s="36"/>
      <c r="Q38" s="37">
        <f t="shared" si="5"/>
        <v>2653920</v>
      </c>
      <c r="R38" s="38">
        <f t="shared" si="6"/>
        <v>212313.60000000001</v>
      </c>
      <c r="S38" s="39">
        <f t="shared" si="7"/>
        <v>79617.599999999991</v>
      </c>
      <c r="T38" s="40">
        <f t="shared" si="8"/>
        <v>291931.2</v>
      </c>
      <c r="U38" s="41">
        <f t="shared" si="9"/>
        <v>2945860</v>
      </c>
    </row>
    <row r="39" spans="2:21" s="28" customFormat="1" ht="34.5" customHeight="1">
      <c r="B39" s="29">
        <v>36</v>
      </c>
      <c r="C39" s="29" t="str">
        <f>'[1]B(근태)'!B217</f>
        <v>김연순</v>
      </c>
      <c r="D39" s="30">
        <f>'[1]B(근태)'!C217</f>
        <v>10320</v>
      </c>
      <c r="E39" s="31">
        <f>'[1]B(근태)'!AL217</f>
        <v>190</v>
      </c>
      <c r="F39" s="32">
        <f>E39*D39</f>
        <v>1960800</v>
      </c>
      <c r="G39" s="33">
        <f>'[1]B(근태)'!AL218</f>
        <v>12</v>
      </c>
      <c r="H39" s="32">
        <f t="shared" si="1"/>
        <v>185760</v>
      </c>
      <c r="I39" s="33">
        <f>'[1]B(근태)'!AL219</f>
        <v>24</v>
      </c>
      <c r="J39" s="35">
        <f t="shared" si="2"/>
        <v>371520</v>
      </c>
      <c r="K39" s="33">
        <f>'[1]B(근태)'!AL220</f>
        <v>0</v>
      </c>
      <c r="L39" s="35">
        <f t="shared" si="3"/>
        <v>0</v>
      </c>
      <c r="M39" s="33">
        <f>'[1]B(근태)'!AL221</f>
        <v>0</v>
      </c>
      <c r="N39" s="32">
        <f t="shared" si="10"/>
        <v>0</v>
      </c>
      <c r="O39" s="35">
        <v>12000</v>
      </c>
      <c r="P39" s="36"/>
      <c r="Q39" s="37">
        <f t="shared" si="5"/>
        <v>2530080</v>
      </c>
      <c r="R39" s="38">
        <f t="shared" si="6"/>
        <v>202406.39999999999</v>
      </c>
      <c r="S39" s="39">
        <f t="shared" si="7"/>
        <v>75902.399999999994</v>
      </c>
      <c r="T39" s="40">
        <f t="shared" si="8"/>
        <v>278308.8</v>
      </c>
      <c r="U39" s="41">
        <f t="shared" si="9"/>
        <v>2808390</v>
      </c>
    </row>
    <row r="40" spans="2:21" s="28" customFormat="1" ht="34.5" customHeight="1">
      <c r="B40" s="29">
        <v>37</v>
      </c>
      <c r="C40" s="29" t="str">
        <f>'[1]B(근태)'!B223</f>
        <v>지미경</v>
      </c>
      <c r="D40" s="30">
        <f>'[1]B(근태)'!C223</f>
        <v>10320</v>
      </c>
      <c r="E40" s="31">
        <f>'[1]B(근태)'!AL223</f>
        <v>186</v>
      </c>
      <c r="F40" s="32">
        <f t="shared" ref="F40:F103" si="11">E40*D40</f>
        <v>1919520</v>
      </c>
      <c r="G40" s="33">
        <f>'[1]B(근태)'!AL224</f>
        <v>14</v>
      </c>
      <c r="H40" s="32">
        <f t="shared" si="1"/>
        <v>216720</v>
      </c>
      <c r="I40" s="33">
        <f>'[1]B(근태)'!AL225</f>
        <v>24</v>
      </c>
      <c r="J40" s="35">
        <f t="shared" si="2"/>
        <v>371520</v>
      </c>
      <c r="K40" s="33">
        <f>'[1]B(근태)'!AL226</f>
        <v>0</v>
      </c>
      <c r="L40" s="35">
        <f t="shared" si="3"/>
        <v>0</v>
      </c>
      <c r="M40" s="33">
        <f>'[1]B(근태)'!AL227</f>
        <v>0</v>
      </c>
      <c r="N40" s="32">
        <f t="shared" si="10"/>
        <v>0</v>
      </c>
      <c r="O40" s="35">
        <v>14000</v>
      </c>
      <c r="P40" s="36"/>
      <c r="Q40" s="37">
        <f t="shared" si="5"/>
        <v>2521760</v>
      </c>
      <c r="R40" s="38">
        <f t="shared" si="6"/>
        <v>201740.80000000002</v>
      </c>
      <c r="S40" s="39">
        <f t="shared" si="7"/>
        <v>75652.800000000003</v>
      </c>
      <c r="T40" s="40">
        <f t="shared" si="8"/>
        <v>277393.60000000003</v>
      </c>
      <c r="U40" s="41">
        <f t="shared" si="9"/>
        <v>2799160</v>
      </c>
    </row>
    <row r="41" spans="2:21" s="28" customFormat="1" ht="34.5" customHeight="1">
      <c r="B41" s="29">
        <v>38</v>
      </c>
      <c r="C41" s="29" t="str">
        <f>'[1]B(근태)'!B229</f>
        <v>쩐티남
(트란티남)</v>
      </c>
      <c r="D41" s="30">
        <f>'[1]B(근태)'!C229</f>
        <v>10320</v>
      </c>
      <c r="E41" s="31">
        <f>'[1]B(근태)'!AL229</f>
        <v>190</v>
      </c>
      <c r="F41" s="32">
        <f t="shared" si="11"/>
        <v>1960800</v>
      </c>
      <c r="G41" s="33">
        <f>'[1]B(근태)'!AL230</f>
        <v>10</v>
      </c>
      <c r="H41" s="32">
        <f t="shared" si="1"/>
        <v>154800</v>
      </c>
      <c r="I41" s="33">
        <f>'[1]B(근태)'!AL231</f>
        <v>32</v>
      </c>
      <c r="J41" s="35">
        <f t="shared" si="2"/>
        <v>495360</v>
      </c>
      <c r="K41" s="33">
        <f>'[1]B(근태)'!AL232</f>
        <v>0</v>
      </c>
      <c r="L41" s="35">
        <f t="shared" si="3"/>
        <v>0</v>
      </c>
      <c r="M41" s="33">
        <f>'[1]B(근태)'!AL233</f>
        <v>0</v>
      </c>
      <c r="N41" s="32">
        <f t="shared" si="10"/>
        <v>0</v>
      </c>
      <c r="O41" s="35">
        <v>10000</v>
      </c>
      <c r="P41" s="36"/>
      <c r="Q41" s="37">
        <f t="shared" si="5"/>
        <v>2620960</v>
      </c>
      <c r="R41" s="38">
        <f t="shared" si="6"/>
        <v>209676.80000000002</v>
      </c>
      <c r="S41" s="39">
        <f t="shared" si="7"/>
        <v>78628.800000000003</v>
      </c>
      <c r="T41" s="40">
        <f t="shared" si="8"/>
        <v>288305.60000000003</v>
      </c>
      <c r="U41" s="41">
        <f t="shared" si="9"/>
        <v>2909270</v>
      </c>
    </row>
    <row r="42" spans="2:21" s="28" customFormat="1" ht="34.5" customHeight="1">
      <c r="B42" s="29">
        <v>39</v>
      </c>
      <c r="C42" s="29" t="str">
        <f>'[1]B(근태)'!B235</f>
        <v>박혜선</v>
      </c>
      <c r="D42" s="30">
        <f>'[1]B(근태)'!C235</f>
        <v>10320</v>
      </c>
      <c r="E42" s="31">
        <f>'[1]B(근태)'!AL235</f>
        <v>158</v>
      </c>
      <c r="F42" s="32">
        <f t="shared" si="11"/>
        <v>1630560</v>
      </c>
      <c r="G42" s="33">
        <f>'[1]B(근태)'!AL236</f>
        <v>0</v>
      </c>
      <c r="H42" s="32">
        <f t="shared" si="1"/>
        <v>0</v>
      </c>
      <c r="I42" s="33">
        <f>'[1]B(근태)'!AL237</f>
        <v>32</v>
      </c>
      <c r="J42" s="35">
        <f t="shared" si="2"/>
        <v>495360</v>
      </c>
      <c r="K42" s="33">
        <f>'[1]B(근태)'!AL238</f>
        <v>51</v>
      </c>
      <c r="L42" s="35">
        <f t="shared" si="3"/>
        <v>789480</v>
      </c>
      <c r="M42" s="33"/>
      <c r="N42" s="32"/>
      <c r="O42" s="35">
        <v>0</v>
      </c>
      <c r="P42" s="36"/>
      <c r="Q42" s="37">
        <f t="shared" si="5"/>
        <v>2915400</v>
      </c>
      <c r="R42" s="38">
        <f t="shared" si="6"/>
        <v>233232</v>
      </c>
      <c r="S42" s="39">
        <f t="shared" si="7"/>
        <v>87462</v>
      </c>
      <c r="T42" s="40">
        <f t="shared" si="8"/>
        <v>320694</v>
      </c>
      <c r="U42" s="41">
        <f t="shared" si="9"/>
        <v>3236100</v>
      </c>
    </row>
    <row r="43" spans="2:21" s="28" customFormat="1" ht="34.5" customHeight="1">
      <c r="B43" s="29">
        <v>40</v>
      </c>
      <c r="C43" s="29" t="str">
        <f>'[1]B(근태)'!B241</f>
        <v>이수진</v>
      </c>
      <c r="D43" s="30">
        <f>'[1]B(근태)'!C241</f>
        <v>10320</v>
      </c>
      <c r="E43" s="31">
        <f>'[1]B(근태)'!AL241</f>
        <v>158</v>
      </c>
      <c r="F43" s="32">
        <f t="shared" si="11"/>
        <v>1630560</v>
      </c>
      <c r="G43" s="33">
        <f>'[1]B(근태)'!AL242</f>
        <v>0</v>
      </c>
      <c r="H43" s="32">
        <f t="shared" si="1"/>
        <v>0</v>
      </c>
      <c r="I43" s="33">
        <f>'[1]B(근태)'!AL243</f>
        <v>32</v>
      </c>
      <c r="J43" s="35">
        <f t="shared" si="2"/>
        <v>495360</v>
      </c>
      <c r="K43" s="33">
        <f>'[1]B(근태)'!AL244</f>
        <v>51</v>
      </c>
      <c r="L43" s="35">
        <f t="shared" si="3"/>
        <v>789480</v>
      </c>
      <c r="M43" s="33">
        <f>'[1]B(근태)'!AL245</f>
        <v>0</v>
      </c>
      <c r="N43" s="32">
        <f t="shared" si="10"/>
        <v>0</v>
      </c>
      <c r="O43" s="35">
        <v>96000</v>
      </c>
      <c r="P43" s="36"/>
      <c r="Q43" s="37">
        <f t="shared" si="5"/>
        <v>3011400</v>
      </c>
      <c r="R43" s="38">
        <f t="shared" si="6"/>
        <v>240912</v>
      </c>
      <c r="S43" s="39">
        <f t="shared" si="7"/>
        <v>90342</v>
      </c>
      <c r="T43" s="40">
        <f t="shared" si="8"/>
        <v>331254</v>
      </c>
      <c r="U43" s="41">
        <f t="shared" si="9"/>
        <v>3342660</v>
      </c>
    </row>
    <row r="44" spans="2:21" s="28" customFormat="1" ht="34.5" customHeight="1">
      <c r="B44" s="29">
        <v>41</v>
      </c>
      <c r="C44" s="29" t="str">
        <f>'[1]B(근태)'!B247</f>
        <v>강명옥</v>
      </c>
      <c r="D44" s="30">
        <f>'[1]B(근태)'!C247</f>
        <v>10320</v>
      </c>
      <c r="E44" s="31">
        <f>'[1]B(근태)'!AL247</f>
        <v>174</v>
      </c>
      <c r="F44" s="32">
        <f t="shared" si="11"/>
        <v>1795680</v>
      </c>
      <c r="G44" s="33">
        <f>'[1]B(근태)'!AL248</f>
        <v>10</v>
      </c>
      <c r="H44" s="32">
        <f t="shared" si="1"/>
        <v>154800</v>
      </c>
      <c r="I44" s="33">
        <f>'[1]B(근태)'!AL249</f>
        <v>24</v>
      </c>
      <c r="J44" s="35">
        <f t="shared" si="2"/>
        <v>371520</v>
      </c>
      <c r="K44" s="33">
        <f>'[1]B(근태)'!AL250</f>
        <v>0</v>
      </c>
      <c r="L44" s="35">
        <f t="shared" si="3"/>
        <v>0</v>
      </c>
      <c r="M44" s="33">
        <f>'[1]B(근태)'!AL251</f>
        <v>0</v>
      </c>
      <c r="N44" s="32">
        <f t="shared" si="10"/>
        <v>0</v>
      </c>
      <c r="O44" s="35">
        <v>10000</v>
      </c>
      <c r="P44" s="36"/>
      <c r="Q44" s="37">
        <f t="shared" si="5"/>
        <v>2332000</v>
      </c>
      <c r="R44" s="38">
        <f t="shared" si="6"/>
        <v>186560</v>
      </c>
      <c r="S44" s="39">
        <f t="shared" si="7"/>
        <v>69960</v>
      </c>
      <c r="T44" s="40">
        <f t="shared" si="8"/>
        <v>256520</v>
      </c>
      <c r="U44" s="41">
        <f t="shared" si="9"/>
        <v>2588520</v>
      </c>
    </row>
    <row r="45" spans="2:21" s="28" customFormat="1" ht="34.5" customHeight="1">
      <c r="B45" s="29">
        <v>42</v>
      </c>
      <c r="C45" s="29" t="str">
        <f>'[1]B(근태)'!B253</f>
        <v>최춘자</v>
      </c>
      <c r="D45" s="30">
        <f>'[1]B(근태)'!C253</f>
        <v>10320</v>
      </c>
      <c r="E45" s="31">
        <f>'[1]B(근태)'!AL253</f>
        <v>158</v>
      </c>
      <c r="F45" s="32">
        <f t="shared" si="11"/>
        <v>1630560</v>
      </c>
      <c r="G45" s="33">
        <f>'[1]B(근태)'!AL254</f>
        <v>0</v>
      </c>
      <c r="H45" s="32">
        <f t="shared" si="1"/>
        <v>0</v>
      </c>
      <c r="I45" s="33">
        <f>'[1]B(근태)'!AL255</f>
        <v>16</v>
      </c>
      <c r="J45" s="35">
        <f t="shared" si="2"/>
        <v>247680</v>
      </c>
      <c r="K45" s="33">
        <f>'[1]B(근태)'!AL256</f>
        <v>51</v>
      </c>
      <c r="L45" s="35">
        <f t="shared" si="3"/>
        <v>789480</v>
      </c>
      <c r="M45" s="33">
        <f>'[1]B(근태)'!AL257</f>
        <v>0</v>
      </c>
      <c r="N45" s="32">
        <f t="shared" si="10"/>
        <v>0</v>
      </c>
      <c r="O45" s="35">
        <v>90000</v>
      </c>
      <c r="P45" s="36"/>
      <c r="Q45" s="37">
        <f t="shared" si="5"/>
        <v>2757720</v>
      </c>
      <c r="R45" s="38">
        <f t="shared" si="6"/>
        <v>220617.60000000001</v>
      </c>
      <c r="S45" s="39">
        <f t="shared" si="7"/>
        <v>82731.599999999991</v>
      </c>
      <c r="T45" s="40">
        <f t="shared" si="8"/>
        <v>303349.2</v>
      </c>
      <c r="U45" s="41">
        <f t="shared" si="9"/>
        <v>3061070</v>
      </c>
    </row>
    <row r="46" spans="2:21" s="28" customFormat="1" ht="34.5" customHeight="1">
      <c r="B46" s="29">
        <v>43</v>
      </c>
      <c r="C46" s="29" t="str">
        <f>'[1]B(근태)'!B259</f>
        <v>레티탐</v>
      </c>
      <c r="D46" s="30">
        <f>'[1]B(근태)'!C259</f>
        <v>10320</v>
      </c>
      <c r="E46" s="31">
        <f>'[1]B(근태)'!AL259</f>
        <v>158</v>
      </c>
      <c r="F46" s="32">
        <f t="shared" si="11"/>
        <v>1630560</v>
      </c>
      <c r="G46" s="33">
        <f>'[1]B(근태)'!AL260</f>
        <v>0</v>
      </c>
      <c r="H46" s="32">
        <f t="shared" si="1"/>
        <v>0</v>
      </c>
      <c r="I46" s="33">
        <f>'[1]B(근태)'!AL261</f>
        <v>32</v>
      </c>
      <c r="J46" s="35">
        <f t="shared" si="2"/>
        <v>495360</v>
      </c>
      <c r="K46" s="33">
        <f>'[1]B(근태)'!AL262</f>
        <v>51</v>
      </c>
      <c r="L46" s="35">
        <f t="shared" si="3"/>
        <v>789480</v>
      </c>
      <c r="M46" s="33">
        <f>'[1]B(근태)'!AL263</f>
        <v>0</v>
      </c>
      <c r="N46" s="32">
        <f t="shared" si="10"/>
        <v>0</v>
      </c>
      <c r="O46" s="35">
        <v>0</v>
      </c>
      <c r="P46" s="36"/>
      <c r="Q46" s="37">
        <f t="shared" si="5"/>
        <v>2915400</v>
      </c>
      <c r="R46" s="38">
        <f t="shared" si="6"/>
        <v>233232</v>
      </c>
      <c r="S46" s="39">
        <f t="shared" si="7"/>
        <v>87462</v>
      </c>
      <c r="T46" s="40">
        <f t="shared" si="8"/>
        <v>320694</v>
      </c>
      <c r="U46" s="41">
        <f t="shared" si="9"/>
        <v>3236100</v>
      </c>
    </row>
    <row r="47" spans="2:21" s="28" customFormat="1" ht="34.5" customHeight="1">
      <c r="B47" s="29">
        <v>44</v>
      </c>
      <c r="C47" s="29" t="str">
        <f>'[1]B(근태)'!B265</f>
        <v>노미순</v>
      </c>
      <c r="D47" s="30">
        <f>'[1]B(근태)'!C265</f>
        <v>10320</v>
      </c>
      <c r="E47" s="31">
        <f>'[1]B(근태)'!AL265</f>
        <v>192</v>
      </c>
      <c r="F47" s="32">
        <f t="shared" si="11"/>
        <v>1981440</v>
      </c>
      <c r="G47" s="33">
        <f>'[1]B(근태)'!AL266</f>
        <v>16</v>
      </c>
      <c r="H47" s="32">
        <f t="shared" si="1"/>
        <v>247680</v>
      </c>
      <c r="I47" s="33">
        <f>'[1]B(근태)'!AL267</f>
        <v>32</v>
      </c>
      <c r="J47" s="35">
        <f t="shared" si="2"/>
        <v>495360</v>
      </c>
      <c r="K47" s="33">
        <f>'[1]B(근태)'!AL268</f>
        <v>0</v>
      </c>
      <c r="L47" s="35">
        <f t="shared" si="3"/>
        <v>0</v>
      </c>
      <c r="M47" s="33">
        <f>'[1]B(근태)'!AL269</f>
        <v>0</v>
      </c>
      <c r="N47" s="32">
        <f t="shared" si="10"/>
        <v>0</v>
      </c>
      <c r="O47" s="35">
        <v>16000</v>
      </c>
      <c r="P47" s="36"/>
      <c r="Q47" s="37">
        <f t="shared" si="5"/>
        <v>2740480</v>
      </c>
      <c r="R47" s="38">
        <f t="shared" si="6"/>
        <v>219238.39999999999</v>
      </c>
      <c r="S47" s="39">
        <f t="shared" si="7"/>
        <v>82214.399999999994</v>
      </c>
      <c r="T47" s="40">
        <f t="shared" si="8"/>
        <v>301452.79999999999</v>
      </c>
      <c r="U47" s="41">
        <f t="shared" si="9"/>
        <v>3041940</v>
      </c>
    </row>
    <row r="48" spans="2:21" s="28" customFormat="1" ht="34.5" customHeight="1">
      <c r="B48" s="29">
        <v>45</v>
      </c>
      <c r="C48" s="29" t="str">
        <f>'[1]B(근태)'!B271</f>
        <v>한서현</v>
      </c>
      <c r="D48" s="30">
        <f>'[1]B(근태)'!C271</f>
        <v>10320</v>
      </c>
      <c r="E48" s="31">
        <f>'[1]B(근태)'!AL271</f>
        <v>190</v>
      </c>
      <c r="F48" s="32">
        <f t="shared" si="11"/>
        <v>1960800</v>
      </c>
      <c r="G48" s="33">
        <f>'[1]B(근태)'!AL272</f>
        <v>12</v>
      </c>
      <c r="H48" s="32">
        <f t="shared" si="1"/>
        <v>185760</v>
      </c>
      <c r="I48" s="33">
        <f>'[1]B(근태)'!AL273</f>
        <v>32</v>
      </c>
      <c r="J48" s="35">
        <f t="shared" si="2"/>
        <v>495360</v>
      </c>
      <c r="K48" s="33">
        <f>'[1]B(근태)'!AL274</f>
        <v>0</v>
      </c>
      <c r="L48" s="35">
        <f t="shared" si="3"/>
        <v>0</v>
      </c>
      <c r="M48" s="33">
        <f>'[1]B(근태)'!AL275</f>
        <v>0</v>
      </c>
      <c r="N48" s="32">
        <f t="shared" si="10"/>
        <v>0</v>
      </c>
      <c r="O48" s="35">
        <v>12000</v>
      </c>
      <c r="P48" s="36"/>
      <c r="Q48" s="37">
        <f t="shared" si="5"/>
        <v>2653920</v>
      </c>
      <c r="R48" s="38">
        <f t="shared" si="6"/>
        <v>212313.60000000001</v>
      </c>
      <c r="S48" s="39">
        <f t="shared" si="7"/>
        <v>79617.599999999991</v>
      </c>
      <c r="T48" s="40">
        <f t="shared" si="8"/>
        <v>291931.2</v>
      </c>
      <c r="U48" s="41">
        <f t="shared" si="9"/>
        <v>2945860</v>
      </c>
    </row>
    <row r="49" spans="2:21" s="28" customFormat="1" ht="34.5" customHeight="1">
      <c r="B49" s="29">
        <v>46</v>
      </c>
      <c r="C49" s="29" t="str">
        <f>'[1]B(근태)'!B277</f>
        <v>응웬티회</v>
      </c>
      <c r="D49" s="30">
        <f>'[1]B(근태)'!C277</f>
        <v>10320</v>
      </c>
      <c r="E49" s="31">
        <f>'[1]B(근태)'!AL277</f>
        <v>158</v>
      </c>
      <c r="F49" s="32">
        <f>E49*D49</f>
        <v>1630560</v>
      </c>
      <c r="G49" s="33">
        <f>'[1]B(근태)'!AL278</f>
        <v>10</v>
      </c>
      <c r="H49" s="32">
        <f t="shared" si="1"/>
        <v>154800</v>
      </c>
      <c r="I49" s="33">
        <f>'[1]B(근태)'!AL279</f>
        <v>24</v>
      </c>
      <c r="J49" s="35">
        <f t="shared" si="2"/>
        <v>371520</v>
      </c>
      <c r="K49" s="33">
        <f>'[1]B(근태)'!AL280</f>
        <v>0</v>
      </c>
      <c r="L49" s="35">
        <f t="shared" si="3"/>
        <v>0</v>
      </c>
      <c r="M49" s="33">
        <f>'[1]B(근태)'!AL281</f>
        <v>0</v>
      </c>
      <c r="N49" s="32">
        <f t="shared" si="10"/>
        <v>0</v>
      </c>
      <c r="O49" s="35">
        <v>10000</v>
      </c>
      <c r="P49" s="36"/>
      <c r="Q49" s="37">
        <f t="shared" si="5"/>
        <v>2166880</v>
      </c>
      <c r="R49" s="38">
        <f t="shared" si="6"/>
        <v>173350.39999999999</v>
      </c>
      <c r="S49" s="39">
        <f t="shared" si="7"/>
        <v>65006.399999999994</v>
      </c>
      <c r="T49" s="40">
        <f t="shared" si="8"/>
        <v>238356.8</v>
      </c>
      <c r="U49" s="41">
        <f t="shared" si="9"/>
        <v>2405240</v>
      </c>
    </row>
    <row r="50" spans="2:21" s="28" customFormat="1" ht="34.5" customHeight="1">
      <c r="B50" s="29">
        <v>47</v>
      </c>
      <c r="C50" s="29" t="str">
        <f>'[1]B(근태)'!B283</f>
        <v>정오례</v>
      </c>
      <c r="D50" s="30">
        <f>'[1]B(근태)'!C283</f>
        <v>10320</v>
      </c>
      <c r="E50" s="31">
        <f>'[1]B(근태)'!AL283</f>
        <v>190</v>
      </c>
      <c r="F50" s="32">
        <f t="shared" si="11"/>
        <v>1960800</v>
      </c>
      <c r="G50" s="33">
        <f>'[1]B(근태)'!AL284</f>
        <v>12</v>
      </c>
      <c r="H50" s="32">
        <f t="shared" si="1"/>
        <v>185760</v>
      </c>
      <c r="I50" s="33">
        <f>'[1]B(근태)'!AL285</f>
        <v>16</v>
      </c>
      <c r="J50" s="35">
        <f t="shared" si="2"/>
        <v>247680</v>
      </c>
      <c r="K50" s="33">
        <f>'[1]B(근태)'!AL286</f>
        <v>0</v>
      </c>
      <c r="L50" s="35">
        <f t="shared" si="3"/>
        <v>0</v>
      </c>
      <c r="M50" s="33">
        <f>'[1]B(근태)'!AL287</f>
        <v>0</v>
      </c>
      <c r="N50" s="32">
        <f t="shared" si="10"/>
        <v>0</v>
      </c>
      <c r="O50" s="35">
        <v>12000</v>
      </c>
      <c r="P50" s="36"/>
      <c r="Q50" s="37">
        <f t="shared" si="5"/>
        <v>2406240</v>
      </c>
      <c r="R50" s="38">
        <f t="shared" si="6"/>
        <v>192499.20000000001</v>
      </c>
      <c r="S50" s="39">
        <f t="shared" si="7"/>
        <v>72187.199999999997</v>
      </c>
      <c r="T50" s="40">
        <f t="shared" si="8"/>
        <v>264686.40000000002</v>
      </c>
      <c r="U50" s="41">
        <f t="shared" si="9"/>
        <v>2670930</v>
      </c>
    </row>
    <row r="51" spans="2:21" s="28" customFormat="1" ht="34.5" customHeight="1">
      <c r="B51" s="29">
        <v>48</v>
      </c>
      <c r="C51" s="29" t="str">
        <f>'[1]B(근태)'!B289</f>
        <v>문영</v>
      </c>
      <c r="D51" s="30">
        <f>'[1]B(근태)'!C289</f>
        <v>10320</v>
      </c>
      <c r="E51" s="31">
        <f>'[1]B(근태)'!AL289</f>
        <v>186</v>
      </c>
      <c r="F51" s="32">
        <f t="shared" si="11"/>
        <v>1919520</v>
      </c>
      <c r="G51" s="33">
        <f>'[1]B(근태)'!AL290</f>
        <v>14</v>
      </c>
      <c r="H51" s="32">
        <f t="shared" si="1"/>
        <v>216720</v>
      </c>
      <c r="I51" s="33">
        <f>'[1]B(근태)'!AL291</f>
        <v>16</v>
      </c>
      <c r="J51" s="35">
        <f t="shared" si="2"/>
        <v>247680</v>
      </c>
      <c r="K51" s="33">
        <f>'[1]B(근태)'!AL292</f>
        <v>0</v>
      </c>
      <c r="L51" s="35">
        <f t="shared" si="3"/>
        <v>0</v>
      </c>
      <c r="M51" s="33">
        <f>'[1]B(근태)'!AL293</f>
        <v>0</v>
      </c>
      <c r="N51" s="32">
        <f t="shared" si="10"/>
        <v>0</v>
      </c>
      <c r="O51" s="35">
        <v>14000</v>
      </c>
      <c r="P51" s="36"/>
      <c r="Q51" s="37">
        <f t="shared" si="5"/>
        <v>2397920</v>
      </c>
      <c r="R51" s="38">
        <f t="shared" si="6"/>
        <v>191833.60000000001</v>
      </c>
      <c r="S51" s="39">
        <f t="shared" si="7"/>
        <v>71937.599999999991</v>
      </c>
      <c r="T51" s="40">
        <f t="shared" si="8"/>
        <v>263771.2</v>
      </c>
      <c r="U51" s="41">
        <f t="shared" si="9"/>
        <v>2661700</v>
      </c>
    </row>
    <row r="52" spans="2:21" s="28" customFormat="1" ht="34.5" customHeight="1">
      <c r="B52" s="29">
        <v>49</v>
      </c>
      <c r="C52" s="29" t="str">
        <f>'[1]B(근태)'!B295</f>
        <v>박정희B</v>
      </c>
      <c r="D52" s="30">
        <f>'[1]B(근태)'!C295</f>
        <v>10320</v>
      </c>
      <c r="E52" s="31">
        <f>'[1]B(근태)'!AL295</f>
        <v>190</v>
      </c>
      <c r="F52" s="32">
        <f t="shared" si="11"/>
        <v>1960800</v>
      </c>
      <c r="G52" s="33">
        <f>'[1]B(근태)'!AL296</f>
        <v>10</v>
      </c>
      <c r="H52" s="32">
        <f t="shared" si="1"/>
        <v>154800</v>
      </c>
      <c r="I52" s="33">
        <f>'[1]B(근태)'!AL297</f>
        <v>32</v>
      </c>
      <c r="J52" s="35">
        <f t="shared" si="2"/>
        <v>495360</v>
      </c>
      <c r="K52" s="33">
        <f>'[1]B(근태)'!AL298</f>
        <v>0</v>
      </c>
      <c r="L52" s="35">
        <f t="shared" si="3"/>
        <v>0</v>
      </c>
      <c r="M52" s="33">
        <f>'[1]B(근태)'!AL299</f>
        <v>0</v>
      </c>
      <c r="N52" s="32">
        <f t="shared" si="10"/>
        <v>0</v>
      </c>
      <c r="O52" s="35">
        <v>10000</v>
      </c>
      <c r="P52" s="36"/>
      <c r="Q52" s="37">
        <f t="shared" si="5"/>
        <v>2620960</v>
      </c>
      <c r="R52" s="38">
        <f t="shared" si="6"/>
        <v>209676.80000000002</v>
      </c>
      <c r="S52" s="39">
        <f t="shared" si="7"/>
        <v>78628.800000000003</v>
      </c>
      <c r="T52" s="40">
        <f t="shared" si="8"/>
        <v>288305.60000000003</v>
      </c>
      <c r="U52" s="41">
        <f t="shared" si="9"/>
        <v>2909270</v>
      </c>
    </row>
    <row r="53" spans="2:21" s="28" customFormat="1" ht="34.5" customHeight="1">
      <c r="B53" s="29">
        <v>50</v>
      </c>
      <c r="C53" s="29" t="str">
        <f>'[1]B(근태)'!B301</f>
        <v>임정숙</v>
      </c>
      <c r="D53" s="30">
        <f>'[1]B(근태)'!C301</f>
        <v>10320</v>
      </c>
      <c r="E53" s="31">
        <f>'[1]B(근태)'!AL301</f>
        <v>188</v>
      </c>
      <c r="F53" s="32">
        <f t="shared" si="11"/>
        <v>1940160</v>
      </c>
      <c r="G53" s="33">
        <f>'[1]B(근태)'!AL302</f>
        <v>14</v>
      </c>
      <c r="H53" s="32">
        <f t="shared" si="1"/>
        <v>216720</v>
      </c>
      <c r="I53" s="33">
        <f>'[1]B(근태)'!AL303</f>
        <v>24</v>
      </c>
      <c r="J53" s="35">
        <f t="shared" si="2"/>
        <v>371520</v>
      </c>
      <c r="K53" s="33">
        <f>'[1]B(근태)'!AL304</f>
        <v>0</v>
      </c>
      <c r="L53" s="35">
        <f t="shared" si="3"/>
        <v>0</v>
      </c>
      <c r="M53" s="33">
        <f>'[1]B(근태)'!AL305</f>
        <v>0</v>
      </c>
      <c r="N53" s="32">
        <f t="shared" si="10"/>
        <v>0</v>
      </c>
      <c r="O53" s="35">
        <v>14000</v>
      </c>
      <c r="P53" s="36"/>
      <c r="Q53" s="37">
        <f t="shared" si="5"/>
        <v>2542400</v>
      </c>
      <c r="R53" s="38">
        <f t="shared" si="6"/>
        <v>203392</v>
      </c>
      <c r="S53" s="39">
        <f t="shared" si="7"/>
        <v>76272</v>
      </c>
      <c r="T53" s="40">
        <f t="shared" si="8"/>
        <v>279664</v>
      </c>
      <c r="U53" s="41">
        <f t="shared" si="9"/>
        <v>2822070</v>
      </c>
    </row>
    <row r="54" spans="2:21" s="28" customFormat="1" ht="34.5" customHeight="1">
      <c r="B54" s="29">
        <v>51</v>
      </c>
      <c r="C54" s="29" t="str">
        <f>'[1]B(근태)'!B307</f>
        <v>한부덕</v>
      </c>
      <c r="D54" s="30">
        <f>'[1]B(근태)'!C307</f>
        <v>10320</v>
      </c>
      <c r="E54" s="31">
        <f>'[1]B(근태)'!AL307</f>
        <v>174</v>
      </c>
      <c r="F54" s="32">
        <f t="shared" si="11"/>
        <v>1795680</v>
      </c>
      <c r="G54" s="33">
        <f>'[1]B(근태)'!AL308</f>
        <v>12</v>
      </c>
      <c r="H54" s="32">
        <f t="shared" si="1"/>
        <v>185760</v>
      </c>
      <c r="I54" s="33">
        <f>'[1]B(근태)'!AL309</f>
        <v>16</v>
      </c>
      <c r="J54" s="35">
        <f t="shared" si="2"/>
        <v>247680</v>
      </c>
      <c r="K54" s="33">
        <f>'[1]B(근태)'!AL310</f>
        <v>0</v>
      </c>
      <c r="L54" s="35">
        <f t="shared" si="3"/>
        <v>0</v>
      </c>
      <c r="M54" s="33">
        <f>'[1]B(근태)'!AL311</f>
        <v>0</v>
      </c>
      <c r="N54" s="32">
        <f t="shared" si="10"/>
        <v>0</v>
      </c>
      <c r="O54" s="35">
        <v>12000</v>
      </c>
      <c r="P54" s="36"/>
      <c r="Q54" s="37">
        <f t="shared" si="5"/>
        <v>2241120</v>
      </c>
      <c r="R54" s="38">
        <f t="shared" si="6"/>
        <v>179289.60000000001</v>
      </c>
      <c r="S54" s="39">
        <f t="shared" si="7"/>
        <v>67233.599999999991</v>
      </c>
      <c r="T54" s="40">
        <f t="shared" si="8"/>
        <v>246523.2</v>
      </c>
      <c r="U54" s="41">
        <f t="shared" si="9"/>
        <v>2487650</v>
      </c>
    </row>
    <row r="55" spans="2:21" s="28" customFormat="1" ht="34.5" customHeight="1">
      <c r="B55" s="29">
        <v>52</v>
      </c>
      <c r="C55" s="29" t="str">
        <f>'[1]B(근태)'!B313</f>
        <v>후인민뉴</v>
      </c>
      <c r="D55" s="30">
        <f>'[1]B(근태)'!C313</f>
        <v>10320</v>
      </c>
      <c r="E55" s="31">
        <f>'[1]B(근태)'!AL313</f>
        <v>182</v>
      </c>
      <c r="F55" s="32">
        <f t="shared" si="11"/>
        <v>1878240</v>
      </c>
      <c r="G55" s="33">
        <f>'[1]B(근태)'!AL314</f>
        <v>12</v>
      </c>
      <c r="H55" s="32">
        <f t="shared" si="1"/>
        <v>185760</v>
      </c>
      <c r="I55" s="33">
        <f>'[1]B(근태)'!AL315</f>
        <v>18</v>
      </c>
      <c r="J55" s="35">
        <f t="shared" si="2"/>
        <v>278640</v>
      </c>
      <c r="K55" s="33">
        <f>'[1]B(근태)'!AL316</f>
        <v>0</v>
      </c>
      <c r="L55" s="35">
        <f t="shared" si="3"/>
        <v>0</v>
      </c>
      <c r="M55" s="33">
        <f>'[1]B(근태)'!AL317</f>
        <v>0</v>
      </c>
      <c r="N55" s="32">
        <f t="shared" si="10"/>
        <v>0</v>
      </c>
      <c r="O55" s="35">
        <v>12000</v>
      </c>
      <c r="P55" s="36"/>
      <c r="Q55" s="37">
        <f t="shared" si="5"/>
        <v>2354640</v>
      </c>
      <c r="R55" s="38">
        <f t="shared" si="6"/>
        <v>188371.20000000001</v>
      </c>
      <c r="S55" s="39">
        <f t="shared" si="7"/>
        <v>70639.199999999997</v>
      </c>
      <c r="T55" s="40">
        <f t="shared" si="8"/>
        <v>259010.40000000002</v>
      </c>
      <c r="U55" s="41">
        <f t="shared" si="9"/>
        <v>2613660</v>
      </c>
    </row>
    <row r="56" spans="2:21" s="28" customFormat="1" ht="34.5" customHeight="1">
      <c r="B56" s="29">
        <v>53</v>
      </c>
      <c r="C56" s="29" t="str">
        <f>'[1]B(근태)'!B319</f>
        <v>송순옥</v>
      </c>
      <c r="D56" s="30">
        <f>'[1]B(근태)'!C319</f>
        <v>10320</v>
      </c>
      <c r="E56" s="31">
        <f>'[1]B(근태)'!AL319</f>
        <v>14</v>
      </c>
      <c r="F56" s="32">
        <f t="shared" si="11"/>
        <v>144480</v>
      </c>
      <c r="G56" s="33">
        <f>'[1]B(근태)'!AL320</f>
        <v>1.5</v>
      </c>
      <c r="H56" s="32">
        <f t="shared" si="1"/>
        <v>23220</v>
      </c>
      <c r="I56" s="33">
        <f>'[1]B(근태)'!AL321</f>
        <v>0</v>
      </c>
      <c r="J56" s="35">
        <f t="shared" si="2"/>
        <v>0</v>
      </c>
      <c r="K56" s="33">
        <f>'[1]B(근태)'!AL322</f>
        <v>0</v>
      </c>
      <c r="L56" s="35">
        <f t="shared" si="3"/>
        <v>0</v>
      </c>
      <c r="M56" s="33">
        <f>'[1]B(근태)'!AL323</f>
        <v>0</v>
      </c>
      <c r="N56" s="32">
        <f t="shared" si="10"/>
        <v>0</v>
      </c>
      <c r="O56" s="32"/>
      <c r="P56" s="36"/>
      <c r="Q56" s="37">
        <f t="shared" si="5"/>
        <v>167700</v>
      </c>
      <c r="R56" s="38">
        <f t="shared" si="6"/>
        <v>13416</v>
      </c>
      <c r="S56" s="39">
        <f t="shared" si="7"/>
        <v>5031</v>
      </c>
      <c r="T56" s="40">
        <f t="shared" si="8"/>
        <v>18447</v>
      </c>
      <c r="U56" s="41">
        <f t="shared" si="9"/>
        <v>186150</v>
      </c>
    </row>
    <row r="57" spans="2:21" s="28" customFormat="1" ht="34.5" customHeight="1">
      <c r="B57" s="29">
        <v>54</v>
      </c>
      <c r="C57" s="29" t="str">
        <f>'[1]B(근태)'!B325</f>
        <v>응우옌티후옌짱</v>
      </c>
      <c r="D57" s="30">
        <f>'[1]B(근태)'!C325</f>
        <v>10320</v>
      </c>
      <c r="E57" s="31">
        <f>'[1]B(근태)'!AL325</f>
        <v>190</v>
      </c>
      <c r="F57" s="32">
        <f t="shared" si="11"/>
        <v>1960800</v>
      </c>
      <c r="G57" s="33">
        <f>'[1]B(근태)'!AL326</f>
        <v>12</v>
      </c>
      <c r="H57" s="32">
        <f t="shared" si="1"/>
        <v>185760</v>
      </c>
      <c r="I57" s="33">
        <f>'[1]B(근태)'!AL327</f>
        <v>32</v>
      </c>
      <c r="J57" s="35">
        <f t="shared" si="2"/>
        <v>495360</v>
      </c>
      <c r="K57" s="33">
        <f>'[1]B(근태)'!AL328</f>
        <v>0</v>
      </c>
      <c r="L57" s="35">
        <f t="shared" si="3"/>
        <v>0</v>
      </c>
      <c r="M57" s="33">
        <f>'[1]B(근태)'!AL329</f>
        <v>0</v>
      </c>
      <c r="N57" s="32">
        <f t="shared" si="10"/>
        <v>0</v>
      </c>
      <c r="O57" s="35">
        <v>12000</v>
      </c>
      <c r="P57" s="36"/>
      <c r="Q57" s="37">
        <f t="shared" si="5"/>
        <v>2653920</v>
      </c>
      <c r="R57" s="38">
        <f t="shared" si="6"/>
        <v>212313.60000000001</v>
      </c>
      <c r="S57" s="39">
        <f t="shared" si="7"/>
        <v>79617.599999999991</v>
      </c>
      <c r="T57" s="40">
        <f t="shared" si="8"/>
        <v>291931.2</v>
      </c>
      <c r="U57" s="41">
        <f t="shared" si="9"/>
        <v>2945860</v>
      </c>
    </row>
    <row r="58" spans="2:21" s="28" customFormat="1" ht="34.5" customHeight="1">
      <c r="B58" s="29">
        <v>55</v>
      </c>
      <c r="C58" s="29" t="str">
        <f>'[1]B(근태)'!B331</f>
        <v>김보아</v>
      </c>
      <c r="D58" s="30">
        <f>'[1]B(근태)'!C331</f>
        <v>10320</v>
      </c>
      <c r="E58" s="31">
        <f>'[1]B(근태)'!AL331</f>
        <v>174</v>
      </c>
      <c r="F58" s="32">
        <f t="shared" si="11"/>
        <v>1795680</v>
      </c>
      <c r="G58" s="33">
        <f>'[1]B(근태)'!AL332</f>
        <v>4</v>
      </c>
      <c r="H58" s="32">
        <f t="shared" si="1"/>
        <v>61920</v>
      </c>
      <c r="I58" s="33">
        <f>'[1]B(근태)'!AL333</f>
        <v>16</v>
      </c>
      <c r="J58" s="35">
        <f t="shared" si="2"/>
        <v>247680</v>
      </c>
      <c r="K58" s="33">
        <f>'[1]B(근태)'!AL334</f>
        <v>0</v>
      </c>
      <c r="L58" s="35">
        <f t="shared" si="3"/>
        <v>0</v>
      </c>
      <c r="M58" s="33">
        <f>'[1]B(근태)'!AL335</f>
        <v>0</v>
      </c>
      <c r="N58" s="32">
        <f t="shared" si="10"/>
        <v>0</v>
      </c>
      <c r="O58" s="35">
        <v>4000</v>
      </c>
      <c r="P58" s="36"/>
      <c r="Q58" s="37">
        <f t="shared" si="5"/>
        <v>2109280</v>
      </c>
      <c r="R58" s="38">
        <f t="shared" si="6"/>
        <v>168742.39999999999</v>
      </c>
      <c r="S58" s="39">
        <f t="shared" si="7"/>
        <v>63278.399999999994</v>
      </c>
      <c r="T58" s="40">
        <f t="shared" si="8"/>
        <v>232020.8</v>
      </c>
      <c r="U58" s="41">
        <f t="shared" si="9"/>
        <v>2341310</v>
      </c>
    </row>
    <row r="59" spans="2:21" s="28" customFormat="1" ht="34.5" customHeight="1">
      <c r="B59" s="29">
        <v>56</v>
      </c>
      <c r="C59" s="29" t="str">
        <f>'[1]B(근태)'!B337</f>
        <v>포브스레이멘</v>
      </c>
      <c r="D59" s="30">
        <f>'[1]B(근태)'!C337</f>
        <v>10320</v>
      </c>
      <c r="E59" s="31">
        <f>'[1]B(근태)'!AL337</f>
        <v>190</v>
      </c>
      <c r="F59" s="32">
        <f t="shared" si="11"/>
        <v>1960800</v>
      </c>
      <c r="G59" s="33">
        <f>'[1]B(근태)'!AL338</f>
        <v>10</v>
      </c>
      <c r="H59" s="32">
        <f t="shared" si="1"/>
        <v>154800</v>
      </c>
      <c r="I59" s="33">
        <f>'[1]B(근태)'!AL339</f>
        <v>24</v>
      </c>
      <c r="J59" s="35">
        <f t="shared" si="2"/>
        <v>371520</v>
      </c>
      <c r="K59" s="33">
        <f>'[1]B(근태)'!AL340</f>
        <v>0</v>
      </c>
      <c r="L59" s="35">
        <f t="shared" si="3"/>
        <v>0</v>
      </c>
      <c r="M59" s="33">
        <f>'[1]B(근태)'!AL341</f>
        <v>0</v>
      </c>
      <c r="N59" s="32">
        <f t="shared" si="10"/>
        <v>0</v>
      </c>
      <c r="O59" s="35">
        <v>10000</v>
      </c>
      <c r="P59" s="36"/>
      <c r="Q59" s="37">
        <f t="shared" si="5"/>
        <v>2497120</v>
      </c>
      <c r="R59" s="38">
        <f t="shared" si="6"/>
        <v>199769.60000000001</v>
      </c>
      <c r="S59" s="39">
        <f t="shared" si="7"/>
        <v>74913.599999999991</v>
      </c>
      <c r="T59" s="40">
        <f t="shared" si="8"/>
        <v>274683.2</v>
      </c>
      <c r="U59" s="41">
        <f t="shared" si="9"/>
        <v>2771810</v>
      </c>
    </row>
    <row r="60" spans="2:21" s="28" customFormat="1" ht="34.5" customHeight="1">
      <c r="B60" s="29">
        <v>57</v>
      </c>
      <c r="C60" s="29" t="str">
        <f>'[1]B(근태)'!B343</f>
        <v>율리야</v>
      </c>
      <c r="D60" s="30">
        <f>'[1]B(근태)'!C343</f>
        <v>10320</v>
      </c>
      <c r="E60" s="31">
        <f>'[1]B(근태)'!AL343</f>
        <v>190</v>
      </c>
      <c r="F60" s="32">
        <f t="shared" si="11"/>
        <v>1960800</v>
      </c>
      <c r="G60" s="33">
        <f>'[1]B(근태)'!AL344</f>
        <v>8</v>
      </c>
      <c r="H60" s="32">
        <f t="shared" si="1"/>
        <v>123840</v>
      </c>
      <c r="I60" s="33">
        <f>'[1]B(근태)'!AL345</f>
        <v>0</v>
      </c>
      <c r="J60" s="35">
        <f t="shared" si="2"/>
        <v>0</v>
      </c>
      <c r="K60" s="33">
        <f>'[1]B(근태)'!AL346</f>
        <v>0</v>
      </c>
      <c r="L60" s="35">
        <f t="shared" si="3"/>
        <v>0</v>
      </c>
      <c r="M60" s="33">
        <f>'[1]B(근태)'!AL347</f>
        <v>0</v>
      </c>
      <c r="N60" s="32">
        <f t="shared" si="10"/>
        <v>0</v>
      </c>
      <c r="O60" s="35">
        <v>8000</v>
      </c>
      <c r="P60" s="36"/>
      <c r="Q60" s="37">
        <f t="shared" si="5"/>
        <v>2092640</v>
      </c>
      <c r="R60" s="38">
        <f t="shared" si="6"/>
        <v>167411.20000000001</v>
      </c>
      <c r="S60" s="39">
        <f t="shared" si="7"/>
        <v>62779.199999999997</v>
      </c>
      <c r="T60" s="40">
        <f t="shared" si="8"/>
        <v>230190.40000000002</v>
      </c>
      <c r="U60" s="41">
        <f t="shared" si="9"/>
        <v>2322840</v>
      </c>
    </row>
    <row r="61" spans="2:21" s="28" customFormat="1" ht="34.5" customHeight="1">
      <c r="B61" s="29">
        <v>58</v>
      </c>
      <c r="C61" s="29" t="str">
        <f>'[1]B(근태)'!B349</f>
        <v>원채영</v>
      </c>
      <c r="D61" s="30">
        <f>'[1]B(근태)'!C349</f>
        <v>10320</v>
      </c>
      <c r="E61" s="31">
        <f>'[1]B(근태)'!AL349</f>
        <v>182</v>
      </c>
      <c r="F61" s="32">
        <f t="shared" si="11"/>
        <v>1878240</v>
      </c>
      <c r="G61" s="33">
        <f>'[1]B(근태)'!AL350</f>
        <v>0</v>
      </c>
      <c r="H61" s="32">
        <f t="shared" si="1"/>
        <v>0</v>
      </c>
      <c r="I61" s="33">
        <f>'[1]B(근태)'!AL351</f>
        <v>0</v>
      </c>
      <c r="J61" s="35">
        <f t="shared" si="2"/>
        <v>0</v>
      </c>
      <c r="K61" s="33">
        <f>'[1]B(근태)'!AL352</f>
        <v>0</v>
      </c>
      <c r="L61" s="35">
        <f t="shared" si="3"/>
        <v>0</v>
      </c>
      <c r="M61" s="33">
        <f>'[1]B(근태)'!AL353</f>
        <v>0</v>
      </c>
      <c r="N61" s="32">
        <f t="shared" si="10"/>
        <v>0</v>
      </c>
      <c r="O61" s="35">
        <v>0</v>
      </c>
      <c r="P61" s="36"/>
      <c r="Q61" s="37">
        <f t="shared" si="5"/>
        <v>1878240</v>
      </c>
      <c r="R61" s="38">
        <f t="shared" si="6"/>
        <v>150259.20000000001</v>
      </c>
      <c r="S61" s="39">
        <f t="shared" si="7"/>
        <v>56347.199999999997</v>
      </c>
      <c r="T61" s="40">
        <f t="shared" si="8"/>
        <v>206606.40000000002</v>
      </c>
      <c r="U61" s="41">
        <f t="shared" si="9"/>
        <v>2084850</v>
      </c>
    </row>
    <row r="62" spans="2:21" s="28" customFormat="1" ht="33" customHeight="1">
      <c r="B62" s="29">
        <v>59</v>
      </c>
      <c r="C62" s="29" t="str">
        <f>'[1]B(근태)'!B355</f>
        <v>김미선</v>
      </c>
      <c r="D62" s="30">
        <f>'[1]B(근태)'!C355</f>
        <v>10320</v>
      </c>
      <c r="E62" s="31">
        <f>'[1]B(근태)'!AL355</f>
        <v>158</v>
      </c>
      <c r="F62" s="32">
        <f t="shared" si="11"/>
        <v>1630560</v>
      </c>
      <c r="G62" s="33">
        <f>'[1]B(근태)'!AL356</f>
        <v>0</v>
      </c>
      <c r="H62" s="32">
        <f t="shared" si="1"/>
        <v>0</v>
      </c>
      <c r="I62" s="33">
        <f>'[1]B(근태)'!AL357</f>
        <v>0</v>
      </c>
      <c r="J62" s="35">
        <f t="shared" si="2"/>
        <v>0</v>
      </c>
      <c r="K62" s="33">
        <f>'[1]B(근태)'!AL358</f>
        <v>0</v>
      </c>
      <c r="L62" s="35">
        <f t="shared" si="3"/>
        <v>0</v>
      </c>
      <c r="M62" s="33">
        <f>'[1]B(근태)'!AL359</f>
        <v>0</v>
      </c>
      <c r="N62" s="32">
        <f t="shared" si="10"/>
        <v>0</v>
      </c>
      <c r="O62" s="35">
        <v>0</v>
      </c>
      <c r="P62" s="36"/>
      <c r="Q62" s="37">
        <f t="shared" si="5"/>
        <v>1630560</v>
      </c>
      <c r="R62" s="38">
        <f t="shared" si="6"/>
        <v>130444.8</v>
      </c>
      <c r="S62" s="39">
        <f t="shared" si="7"/>
        <v>48916.799999999996</v>
      </c>
      <c r="T62" s="40">
        <f t="shared" si="8"/>
        <v>179361.6</v>
      </c>
      <c r="U62" s="41">
        <f t="shared" si="9"/>
        <v>1809930</v>
      </c>
    </row>
    <row r="63" spans="2:21" s="28" customFormat="1" ht="34.5" customHeight="1">
      <c r="B63" s="29">
        <v>60</v>
      </c>
      <c r="C63" s="29" t="str">
        <f>'[1]B(근태)'!B361</f>
        <v>진수연</v>
      </c>
      <c r="D63" s="30">
        <f>'[1]B(근태)'!C361</f>
        <v>10320</v>
      </c>
      <c r="E63" s="31">
        <f>'[1]B(근태)'!AL361</f>
        <v>184</v>
      </c>
      <c r="F63" s="32">
        <f t="shared" si="11"/>
        <v>1898880</v>
      </c>
      <c r="G63" s="33">
        <f>'[1]B(근태)'!AL362</f>
        <v>10</v>
      </c>
      <c r="H63" s="32">
        <f t="shared" si="1"/>
        <v>154800</v>
      </c>
      <c r="I63" s="33">
        <f>'[1]B(근태)'!AL363</f>
        <v>32</v>
      </c>
      <c r="J63" s="35">
        <f t="shared" si="2"/>
        <v>495360</v>
      </c>
      <c r="K63" s="33">
        <f>'[1]B(근태)'!AL364</f>
        <v>0</v>
      </c>
      <c r="L63" s="35">
        <f t="shared" si="3"/>
        <v>0</v>
      </c>
      <c r="M63" s="33">
        <f>'[1]B(근태)'!AL365</f>
        <v>0</v>
      </c>
      <c r="N63" s="32">
        <f t="shared" si="10"/>
        <v>0</v>
      </c>
      <c r="O63" s="35">
        <v>10000</v>
      </c>
      <c r="P63" s="36"/>
      <c r="Q63" s="37">
        <f t="shared" si="5"/>
        <v>2559040</v>
      </c>
      <c r="R63" s="38">
        <f t="shared" si="6"/>
        <v>204723.20000000001</v>
      </c>
      <c r="S63" s="39">
        <f t="shared" si="7"/>
        <v>76771.199999999997</v>
      </c>
      <c r="T63" s="40">
        <f t="shared" si="8"/>
        <v>281494.40000000002</v>
      </c>
      <c r="U63" s="41">
        <f t="shared" si="9"/>
        <v>2840540</v>
      </c>
    </row>
    <row r="64" spans="2:21" s="28" customFormat="1" ht="34.5" customHeight="1">
      <c r="B64" s="29">
        <v>61</v>
      </c>
      <c r="C64" s="29" t="str">
        <f>'[1]B(근태)'!B367</f>
        <v>이방미</v>
      </c>
      <c r="D64" s="30">
        <f>'[1]B(근태)'!C367</f>
        <v>10320</v>
      </c>
      <c r="E64" s="31">
        <f>'[1]B(근태)'!AL367</f>
        <v>134</v>
      </c>
      <c r="F64" s="32">
        <f t="shared" si="11"/>
        <v>1382880</v>
      </c>
      <c r="G64" s="33">
        <f>'[1]B(근태)'!AL368</f>
        <v>4</v>
      </c>
      <c r="H64" s="32">
        <f t="shared" si="1"/>
        <v>61920</v>
      </c>
      <c r="I64" s="33">
        <f>'[1]B(근태)'!AL369</f>
        <v>16</v>
      </c>
      <c r="J64" s="35">
        <f t="shared" si="2"/>
        <v>247680</v>
      </c>
      <c r="K64" s="33">
        <f>'[1]B(근태)'!AL370</f>
        <v>0</v>
      </c>
      <c r="L64" s="35">
        <f t="shared" si="3"/>
        <v>0</v>
      </c>
      <c r="M64" s="33">
        <f>'[1]B(근태)'!AL371</f>
        <v>0</v>
      </c>
      <c r="N64" s="32">
        <f t="shared" si="10"/>
        <v>0</v>
      </c>
      <c r="O64" s="35">
        <v>4000</v>
      </c>
      <c r="P64" s="36"/>
      <c r="Q64" s="37">
        <f t="shared" si="5"/>
        <v>1696480</v>
      </c>
      <c r="R64" s="38">
        <f t="shared" si="6"/>
        <v>135718.39999999999</v>
      </c>
      <c r="S64" s="39">
        <f t="shared" si="7"/>
        <v>50894.400000000001</v>
      </c>
      <c r="T64" s="40">
        <f t="shared" si="8"/>
        <v>186612.8</v>
      </c>
      <c r="U64" s="41">
        <f t="shared" si="9"/>
        <v>1883100</v>
      </c>
    </row>
    <row r="65" spans="2:21" s="28" customFormat="1" ht="34.5" customHeight="1">
      <c r="B65" s="29">
        <v>62</v>
      </c>
      <c r="C65" s="29" t="str">
        <f>'[1]B(근태)'!B373</f>
        <v>이혜영D</v>
      </c>
      <c r="D65" s="30">
        <f>'[1]B(근태)'!C373</f>
        <v>10320</v>
      </c>
      <c r="E65" s="31">
        <f>'[1]B(근태)'!AL373</f>
        <v>166</v>
      </c>
      <c r="F65" s="32">
        <f t="shared" si="11"/>
        <v>1713120</v>
      </c>
      <c r="G65" s="33">
        <f>'[1]B(근태)'!AL374</f>
        <v>2</v>
      </c>
      <c r="H65" s="32">
        <f t="shared" si="1"/>
        <v>30960</v>
      </c>
      <c r="I65" s="33">
        <f>'[1]B(근태)'!AL375</f>
        <v>32</v>
      </c>
      <c r="J65" s="35">
        <f t="shared" si="2"/>
        <v>495360</v>
      </c>
      <c r="K65" s="33">
        <f>'[1]B(근태)'!AL376</f>
        <v>0</v>
      </c>
      <c r="L65" s="35">
        <f t="shared" si="3"/>
        <v>0</v>
      </c>
      <c r="M65" s="33">
        <f>'[1]B(근태)'!AL377</f>
        <v>0</v>
      </c>
      <c r="N65" s="32">
        <f t="shared" si="10"/>
        <v>0</v>
      </c>
      <c r="O65" s="35">
        <v>2000</v>
      </c>
      <c r="P65" s="36"/>
      <c r="Q65" s="37">
        <f t="shared" si="5"/>
        <v>2241440</v>
      </c>
      <c r="R65" s="38">
        <f t="shared" si="6"/>
        <v>179315.20000000001</v>
      </c>
      <c r="S65" s="39">
        <f t="shared" si="7"/>
        <v>67243.199999999997</v>
      </c>
      <c r="T65" s="40">
        <f t="shared" si="8"/>
        <v>246558.40000000002</v>
      </c>
      <c r="U65" s="41">
        <f t="shared" si="9"/>
        <v>2488000</v>
      </c>
    </row>
    <row r="66" spans="2:21" s="28" customFormat="1" ht="34.5" customHeight="1">
      <c r="B66" s="29">
        <v>63</v>
      </c>
      <c r="C66" s="29" t="str">
        <f>'[1]B(근태)'!B379</f>
        <v>김선미D</v>
      </c>
      <c r="D66" s="30">
        <f>'[1]B(근태)'!C379</f>
        <v>10320</v>
      </c>
      <c r="E66" s="31">
        <f>'[1]B(근태)'!AL379</f>
        <v>184</v>
      </c>
      <c r="F66" s="32">
        <f t="shared" si="11"/>
        <v>1898880</v>
      </c>
      <c r="G66" s="33">
        <f>'[1]B(근태)'!AL380</f>
        <v>14</v>
      </c>
      <c r="H66" s="32">
        <f t="shared" si="1"/>
        <v>216720</v>
      </c>
      <c r="I66" s="33">
        <f>'[1]B(근태)'!AL381</f>
        <v>32</v>
      </c>
      <c r="J66" s="35">
        <f t="shared" si="2"/>
        <v>495360</v>
      </c>
      <c r="K66" s="33">
        <f>'[1]B(근태)'!AL382</f>
        <v>0</v>
      </c>
      <c r="L66" s="35">
        <f t="shared" si="3"/>
        <v>0</v>
      </c>
      <c r="M66" s="33">
        <f>'[1]B(근태)'!AL383</f>
        <v>0</v>
      </c>
      <c r="N66" s="32">
        <f t="shared" si="10"/>
        <v>0</v>
      </c>
      <c r="O66" s="35">
        <v>14000</v>
      </c>
      <c r="P66" s="36"/>
      <c r="Q66" s="37">
        <f t="shared" si="5"/>
        <v>2624960</v>
      </c>
      <c r="R66" s="38">
        <f t="shared" si="6"/>
        <v>209996.80000000002</v>
      </c>
      <c r="S66" s="39">
        <f t="shared" si="7"/>
        <v>78748.800000000003</v>
      </c>
      <c r="T66" s="40">
        <f t="shared" si="8"/>
        <v>288745.60000000003</v>
      </c>
      <c r="U66" s="41">
        <f t="shared" si="9"/>
        <v>2913710</v>
      </c>
    </row>
    <row r="67" spans="2:21" s="28" customFormat="1" ht="34.5" customHeight="1">
      <c r="B67" s="29">
        <v>64</v>
      </c>
      <c r="C67" s="29" t="str">
        <f>'[1]B(근태)'!B385</f>
        <v>김순주</v>
      </c>
      <c r="D67" s="30">
        <f>'[1]B(근태)'!C385</f>
        <v>10320</v>
      </c>
      <c r="E67" s="31">
        <f>'[1]B(근태)'!AL385</f>
        <v>182</v>
      </c>
      <c r="F67" s="32">
        <f t="shared" si="11"/>
        <v>1878240</v>
      </c>
      <c r="G67" s="33">
        <f>'[1]B(근태)'!AL386</f>
        <v>0</v>
      </c>
      <c r="H67" s="32">
        <f t="shared" si="1"/>
        <v>0</v>
      </c>
      <c r="I67" s="33">
        <f>'[1]B(근태)'!AL387</f>
        <v>0</v>
      </c>
      <c r="J67" s="35">
        <f t="shared" si="2"/>
        <v>0</v>
      </c>
      <c r="K67" s="33">
        <f>'[1]B(근태)'!AL388</f>
        <v>0</v>
      </c>
      <c r="L67" s="35">
        <f t="shared" si="3"/>
        <v>0</v>
      </c>
      <c r="M67" s="33">
        <f>'[1]B(근태)'!AL389</f>
        <v>0</v>
      </c>
      <c r="N67" s="32">
        <f t="shared" si="10"/>
        <v>0</v>
      </c>
      <c r="O67" s="35">
        <v>0</v>
      </c>
      <c r="P67" s="36"/>
      <c r="Q67" s="37">
        <f t="shared" si="5"/>
        <v>1878240</v>
      </c>
      <c r="R67" s="38">
        <f t="shared" si="6"/>
        <v>150259.20000000001</v>
      </c>
      <c r="S67" s="39">
        <f t="shared" si="7"/>
        <v>56347.199999999997</v>
      </c>
      <c r="T67" s="40">
        <f t="shared" si="8"/>
        <v>206606.40000000002</v>
      </c>
      <c r="U67" s="41">
        <f t="shared" si="9"/>
        <v>2084850</v>
      </c>
    </row>
    <row r="68" spans="2:21" s="28" customFormat="1" ht="34.5" customHeight="1">
      <c r="B68" s="29">
        <v>65</v>
      </c>
      <c r="C68" s="29" t="str">
        <f>'[1]B(근태)'!B391</f>
        <v>궉기연</v>
      </c>
      <c r="D68" s="30">
        <f>'[1]B(근태)'!C391</f>
        <v>10320</v>
      </c>
      <c r="E68" s="31">
        <f>'[1]B(근태)'!AL391</f>
        <v>166</v>
      </c>
      <c r="F68" s="32">
        <f t="shared" si="11"/>
        <v>1713120</v>
      </c>
      <c r="G68" s="33">
        <f>'[1]B(근태)'!AL392</f>
        <v>0</v>
      </c>
      <c r="H68" s="32">
        <f t="shared" si="1"/>
        <v>0</v>
      </c>
      <c r="I68" s="33">
        <f>'[1]B(근태)'!AL393</f>
        <v>0</v>
      </c>
      <c r="J68" s="35">
        <f t="shared" si="2"/>
        <v>0</v>
      </c>
      <c r="K68" s="33">
        <f>'[1]B(근태)'!AL394</f>
        <v>0</v>
      </c>
      <c r="L68" s="35">
        <f t="shared" si="3"/>
        <v>0</v>
      </c>
      <c r="M68" s="33">
        <f>'[1]B(근태)'!AL395</f>
        <v>0</v>
      </c>
      <c r="N68" s="32">
        <f t="shared" si="10"/>
        <v>0</v>
      </c>
      <c r="O68" s="35">
        <v>0</v>
      </c>
      <c r="P68" s="36"/>
      <c r="Q68" s="37">
        <f t="shared" si="5"/>
        <v>1713120</v>
      </c>
      <c r="R68" s="38">
        <f t="shared" si="6"/>
        <v>137049.60000000001</v>
      </c>
      <c r="S68" s="39">
        <f t="shared" si="7"/>
        <v>51393.599999999999</v>
      </c>
      <c r="T68" s="40">
        <f t="shared" si="8"/>
        <v>188443.2</v>
      </c>
      <c r="U68" s="41">
        <f t="shared" si="9"/>
        <v>1901570</v>
      </c>
    </row>
    <row r="69" spans="2:21" s="28" customFormat="1" ht="34.5" customHeight="1">
      <c r="B69" s="29">
        <v>66</v>
      </c>
      <c r="C69" s="29" t="str">
        <f>'[1]B(근태)'!B397</f>
        <v>오수빈</v>
      </c>
      <c r="D69" s="30">
        <f>'[1]B(근태)'!C397</f>
        <v>10320</v>
      </c>
      <c r="E69" s="31">
        <f>'[1]B(근태)'!AL397</f>
        <v>14</v>
      </c>
      <c r="F69" s="32">
        <f t="shared" si="11"/>
        <v>144480</v>
      </c>
      <c r="G69" s="33">
        <f>'[1]B(근태)'!AL398</f>
        <v>0</v>
      </c>
      <c r="H69" s="32">
        <f t="shared" si="1"/>
        <v>0</v>
      </c>
      <c r="I69" s="33">
        <f>'[1]B(근태)'!AL399</f>
        <v>0</v>
      </c>
      <c r="J69" s="35">
        <f t="shared" si="2"/>
        <v>0</v>
      </c>
      <c r="K69" s="33">
        <f>'[1]B(근태)'!AL400</f>
        <v>0</v>
      </c>
      <c r="L69" s="35">
        <f t="shared" si="3"/>
        <v>0</v>
      </c>
      <c r="M69" s="33">
        <f>'[1]B(근태)'!AL401</f>
        <v>0</v>
      </c>
      <c r="N69" s="32">
        <f t="shared" si="10"/>
        <v>0</v>
      </c>
      <c r="O69" s="35">
        <v>0</v>
      </c>
      <c r="P69" s="36"/>
      <c r="Q69" s="37">
        <f t="shared" si="5"/>
        <v>144480</v>
      </c>
      <c r="R69" s="38">
        <f t="shared" si="6"/>
        <v>11558.4</v>
      </c>
      <c r="S69" s="39">
        <f t="shared" si="7"/>
        <v>4334.3999999999996</v>
      </c>
      <c r="T69" s="40">
        <f t="shared" si="8"/>
        <v>15892.8</v>
      </c>
      <c r="U69" s="41">
        <f t="shared" si="9"/>
        <v>160380</v>
      </c>
    </row>
    <row r="70" spans="2:21" s="28" customFormat="1" ht="34.5" customHeight="1">
      <c r="B70" s="29">
        <v>67</v>
      </c>
      <c r="C70" s="29" t="str">
        <f>'[1]B(근태)'!B403</f>
        <v>위파위</v>
      </c>
      <c r="D70" s="30">
        <f>'[1]B(근태)'!C403</f>
        <v>10320</v>
      </c>
      <c r="E70" s="31">
        <f>'[1]B(근태)'!AL403</f>
        <v>6</v>
      </c>
      <c r="F70" s="32">
        <f t="shared" si="11"/>
        <v>61920</v>
      </c>
      <c r="G70" s="33">
        <f>'[1]B(근태)'!AL404</f>
        <v>0</v>
      </c>
      <c r="H70" s="32">
        <f t="shared" ref="H70:H133" si="12">D70*1.5*G70</f>
        <v>0</v>
      </c>
      <c r="I70" s="33">
        <f>'[1]B(근태)'!AL405</f>
        <v>0</v>
      </c>
      <c r="J70" s="35">
        <f t="shared" ref="J70:J90" si="13">D70*1.5*I70</f>
        <v>0</v>
      </c>
      <c r="K70" s="33">
        <f>'[1]B(근태)'!AL406</f>
        <v>0</v>
      </c>
      <c r="L70" s="35">
        <f t="shared" ref="L70:L133" si="14">K70*D70*1.5</f>
        <v>0</v>
      </c>
      <c r="M70" s="33">
        <f>'[1]B(근태)'!AL407</f>
        <v>0</v>
      </c>
      <c r="N70" s="32">
        <f t="shared" si="10"/>
        <v>0</v>
      </c>
      <c r="O70" s="35">
        <v>0</v>
      </c>
      <c r="P70" s="36"/>
      <c r="Q70" s="37">
        <f t="shared" ref="Q70:Q89" si="15">SUM(F70,H70,J70,L70,O70,P70)</f>
        <v>61920</v>
      </c>
      <c r="R70" s="38">
        <f t="shared" ref="R70:R90" si="16">Q70*$R$1</f>
        <v>4953.6000000000004</v>
      </c>
      <c r="S70" s="39">
        <f t="shared" ref="S70:S90" si="17">Q70*$S$1</f>
        <v>1857.6</v>
      </c>
      <c r="T70" s="40">
        <f t="shared" ref="T70:T89" si="18">SUM(R70:S70)</f>
        <v>6811.2000000000007</v>
      </c>
      <c r="U70" s="41">
        <f t="shared" ref="U70:U89" si="19">ROUNDUP(SUM(Q70+T70),-1)</f>
        <v>68740</v>
      </c>
    </row>
    <row r="71" spans="2:21" s="28" customFormat="1" ht="34.5" customHeight="1">
      <c r="B71" s="29">
        <v>68</v>
      </c>
      <c r="C71" s="29" t="str">
        <f>'[1]B(근태)'!B409</f>
        <v>서미란B</v>
      </c>
      <c r="D71" s="30">
        <f>'[1]B(근태)'!C409</f>
        <v>10320</v>
      </c>
      <c r="E71" s="31">
        <f>'[1]B(근태)'!AL409</f>
        <v>8</v>
      </c>
      <c r="F71" s="32">
        <f t="shared" si="11"/>
        <v>82560</v>
      </c>
      <c r="G71" s="33">
        <f>'[1]B(근태)'!AL410</f>
        <v>0</v>
      </c>
      <c r="H71" s="32">
        <f t="shared" si="12"/>
        <v>0</v>
      </c>
      <c r="I71" s="33">
        <f>'[1]B(근태)'!AL411</f>
        <v>0</v>
      </c>
      <c r="J71" s="35">
        <f t="shared" si="13"/>
        <v>0</v>
      </c>
      <c r="K71" s="33">
        <f>'[1]B(근태)'!AL412</f>
        <v>0</v>
      </c>
      <c r="L71" s="35">
        <f t="shared" si="14"/>
        <v>0</v>
      </c>
      <c r="M71" s="33">
        <f>'[1]B(근태)'!AL413</f>
        <v>0</v>
      </c>
      <c r="N71" s="32">
        <f t="shared" si="10"/>
        <v>0</v>
      </c>
      <c r="O71" s="35">
        <v>0</v>
      </c>
      <c r="P71" s="36"/>
      <c r="Q71" s="37">
        <f t="shared" si="15"/>
        <v>82560</v>
      </c>
      <c r="R71" s="38">
        <f t="shared" si="16"/>
        <v>6604.8</v>
      </c>
      <c r="S71" s="39">
        <f t="shared" si="17"/>
        <v>2476.7999999999997</v>
      </c>
      <c r="T71" s="40">
        <f t="shared" si="18"/>
        <v>9081.6</v>
      </c>
      <c r="U71" s="41">
        <f t="shared" si="19"/>
        <v>91650</v>
      </c>
    </row>
    <row r="72" spans="2:21" s="28" customFormat="1" ht="34.5" customHeight="1">
      <c r="B72" s="29">
        <v>69</v>
      </c>
      <c r="C72" s="29" t="str">
        <f>'[1]B(근태)'!B415</f>
        <v>박소연B</v>
      </c>
      <c r="D72" s="30">
        <f>'[1]B(근태)'!C415</f>
        <v>10320</v>
      </c>
      <c r="E72" s="31">
        <f>'[1]B(근태)'!AL415</f>
        <v>8</v>
      </c>
      <c r="F72" s="32">
        <f t="shared" si="11"/>
        <v>82560</v>
      </c>
      <c r="G72" s="33">
        <f>'[1]B(근태)'!AL416</f>
        <v>0</v>
      </c>
      <c r="H72" s="32">
        <f t="shared" si="12"/>
        <v>0</v>
      </c>
      <c r="I72" s="33">
        <f>'[1]B(근태)'!AL417</f>
        <v>0</v>
      </c>
      <c r="J72" s="35">
        <f t="shared" si="13"/>
        <v>0</v>
      </c>
      <c r="K72" s="33">
        <f>'[1]B(근태)'!AL418</f>
        <v>0</v>
      </c>
      <c r="L72" s="35">
        <f t="shared" si="14"/>
        <v>0</v>
      </c>
      <c r="M72" s="33">
        <f>'[1]B(근태)'!AL419</f>
        <v>0</v>
      </c>
      <c r="N72" s="32">
        <f t="shared" si="10"/>
        <v>0</v>
      </c>
      <c r="O72" s="35">
        <v>0</v>
      </c>
      <c r="P72" s="36"/>
      <c r="Q72" s="37">
        <f t="shared" si="15"/>
        <v>82560</v>
      </c>
      <c r="R72" s="38">
        <f t="shared" si="16"/>
        <v>6604.8</v>
      </c>
      <c r="S72" s="39">
        <f t="shared" si="17"/>
        <v>2476.7999999999997</v>
      </c>
      <c r="T72" s="40">
        <f t="shared" si="18"/>
        <v>9081.6</v>
      </c>
      <c r="U72" s="41">
        <f t="shared" si="19"/>
        <v>91650</v>
      </c>
    </row>
    <row r="73" spans="2:21" s="28" customFormat="1" ht="34.5" customHeight="1">
      <c r="B73" s="29">
        <v>70</v>
      </c>
      <c r="C73" s="29" t="str">
        <f>'[1]B(근태)'!B421</f>
        <v>최수연C</v>
      </c>
      <c r="D73" s="30">
        <f>'[1]B(근태)'!C421</f>
        <v>10320</v>
      </c>
      <c r="E73" s="31">
        <f>'[1]B(근태)'!AL421</f>
        <v>40</v>
      </c>
      <c r="F73" s="32">
        <f t="shared" si="11"/>
        <v>412800</v>
      </c>
      <c r="G73" s="33">
        <f>'[1]B(근태)'!AL422</f>
        <v>0</v>
      </c>
      <c r="H73" s="32">
        <f t="shared" si="12"/>
        <v>0</v>
      </c>
      <c r="I73" s="33">
        <f>'[1]B(근태)'!AL423</f>
        <v>0</v>
      </c>
      <c r="J73" s="35">
        <f t="shared" si="13"/>
        <v>0</v>
      </c>
      <c r="K73" s="33">
        <f>'[1]B(근태)'!AL424</f>
        <v>0</v>
      </c>
      <c r="L73" s="35">
        <f t="shared" si="14"/>
        <v>0</v>
      </c>
      <c r="M73" s="33">
        <f>'[1]B(근태)'!AL425</f>
        <v>0</v>
      </c>
      <c r="N73" s="32">
        <f t="shared" si="10"/>
        <v>0</v>
      </c>
      <c r="O73" s="35">
        <v>0</v>
      </c>
      <c r="P73" s="63"/>
      <c r="Q73" s="37">
        <f t="shared" si="15"/>
        <v>412800</v>
      </c>
      <c r="R73" s="38">
        <f t="shared" si="16"/>
        <v>33024</v>
      </c>
      <c r="S73" s="39">
        <f t="shared" si="17"/>
        <v>12384</v>
      </c>
      <c r="T73" s="40">
        <f t="shared" si="18"/>
        <v>45408</v>
      </c>
      <c r="U73" s="41">
        <f t="shared" si="19"/>
        <v>458210</v>
      </c>
    </row>
    <row r="74" spans="2:21" s="28" customFormat="1" ht="34.5" customHeight="1">
      <c r="B74" s="29">
        <v>71</v>
      </c>
      <c r="C74" s="29" t="str">
        <f>'[1]B(근태)'!B427</f>
        <v>이학래</v>
      </c>
      <c r="D74" s="30">
        <v>10320</v>
      </c>
      <c r="E74" s="31">
        <f>'[1]B(근태)'!AL427</f>
        <v>96</v>
      </c>
      <c r="F74" s="32">
        <f t="shared" si="11"/>
        <v>990720</v>
      </c>
      <c r="G74" s="33">
        <f>'[1]B(근태)'!AL428</f>
        <v>6</v>
      </c>
      <c r="H74" s="32">
        <f t="shared" si="12"/>
        <v>92880</v>
      </c>
      <c r="I74" s="33">
        <f>'[1]B(근태)'!AL429</f>
        <v>16</v>
      </c>
      <c r="J74" s="35">
        <f t="shared" si="13"/>
        <v>247680</v>
      </c>
      <c r="K74" s="33">
        <f>'[1]B(근태)'!AL430</f>
        <v>0</v>
      </c>
      <c r="L74" s="35">
        <f t="shared" si="14"/>
        <v>0</v>
      </c>
      <c r="M74" s="33">
        <f>'[1]B(근태)'!AL431</f>
        <v>0</v>
      </c>
      <c r="N74" s="32">
        <f t="shared" si="10"/>
        <v>0</v>
      </c>
      <c r="O74" s="35">
        <v>6000</v>
      </c>
      <c r="P74" s="63"/>
      <c r="Q74" s="37">
        <f t="shared" si="15"/>
        <v>1337280</v>
      </c>
      <c r="R74" s="38">
        <f t="shared" si="16"/>
        <v>106982.40000000001</v>
      </c>
      <c r="S74" s="39">
        <f t="shared" si="17"/>
        <v>40118.400000000001</v>
      </c>
      <c r="T74" s="40">
        <f t="shared" si="18"/>
        <v>147100.80000000002</v>
      </c>
      <c r="U74" s="41">
        <f t="shared" si="19"/>
        <v>1484390</v>
      </c>
    </row>
    <row r="75" spans="2:21" s="28" customFormat="1" ht="34.5" customHeight="1">
      <c r="B75" s="29">
        <v>72</v>
      </c>
      <c r="C75" s="29" t="str">
        <f>'[1]B(근태)'!B433</f>
        <v>마리나</v>
      </c>
      <c r="D75" s="30">
        <v>10320</v>
      </c>
      <c r="E75" s="31">
        <f>'[1]B(근태)'!AL433</f>
        <v>104</v>
      </c>
      <c r="F75" s="32">
        <f t="shared" si="11"/>
        <v>1073280</v>
      </c>
      <c r="G75" s="33">
        <f>'[1]B(근태)'!AL434</f>
        <v>4</v>
      </c>
      <c r="H75" s="32">
        <f t="shared" si="12"/>
        <v>61920</v>
      </c>
      <c r="I75" s="33">
        <f>'[1]B(근태)'!AL435</f>
        <v>0</v>
      </c>
      <c r="J75" s="35">
        <f t="shared" si="13"/>
        <v>0</v>
      </c>
      <c r="K75" s="33">
        <f>'[1]B(근태)'!AL436</f>
        <v>0</v>
      </c>
      <c r="L75" s="35">
        <f t="shared" si="14"/>
        <v>0</v>
      </c>
      <c r="M75" s="33">
        <f>'[1]B(근태)'!AL437</f>
        <v>0</v>
      </c>
      <c r="N75" s="32">
        <f t="shared" si="10"/>
        <v>0</v>
      </c>
      <c r="O75" s="35">
        <v>4000</v>
      </c>
      <c r="P75" s="63"/>
      <c r="Q75" s="37">
        <f t="shared" si="15"/>
        <v>1139200</v>
      </c>
      <c r="R75" s="38">
        <f t="shared" si="16"/>
        <v>91136</v>
      </c>
      <c r="S75" s="39">
        <f t="shared" si="17"/>
        <v>34176</v>
      </c>
      <c r="T75" s="40">
        <f t="shared" si="18"/>
        <v>125312</v>
      </c>
      <c r="U75" s="41">
        <f t="shared" si="19"/>
        <v>1264520</v>
      </c>
    </row>
    <row r="76" spans="2:21" s="28" customFormat="1" ht="34.5" customHeight="1">
      <c r="B76" s="29">
        <v>73</v>
      </c>
      <c r="C76" s="29" t="str">
        <f>'[1]B(근태)'!B439</f>
        <v>김명희B</v>
      </c>
      <c r="D76" s="30">
        <v>10320</v>
      </c>
      <c r="E76" s="31">
        <f>'[1]B(근태)'!AL439</f>
        <v>136</v>
      </c>
      <c r="F76" s="32">
        <f t="shared" si="11"/>
        <v>1403520</v>
      </c>
      <c r="G76" s="33">
        <f>'[1]B(근태)'!AL440</f>
        <v>4</v>
      </c>
      <c r="H76" s="32">
        <f t="shared" si="12"/>
        <v>61920</v>
      </c>
      <c r="I76" s="33">
        <f>'[1]B(근태)'!AL441</f>
        <v>0</v>
      </c>
      <c r="J76" s="35">
        <f t="shared" si="13"/>
        <v>0</v>
      </c>
      <c r="K76" s="33">
        <f>'[1]B(근태)'!AL442</f>
        <v>0</v>
      </c>
      <c r="L76" s="35">
        <f t="shared" si="14"/>
        <v>0</v>
      </c>
      <c r="M76" s="33">
        <f>'[1]B(근태)'!AL443</f>
        <v>0</v>
      </c>
      <c r="N76" s="32">
        <f t="shared" si="10"/>
        <v>0</v>
      </c>
      <c r="O76" s="35">
        <v>4000</v>
      </c>
      <c r="P76" s="63"/>
      <c r="Q76" s="37">
        <f t="shared" si="15"/>
        <v>1469440</v>
      </c>
      <c r="R76" s="38">
        <f t="shared" si="16"/>
        <v>117555.2</v>
      </c>
      <c r="S76" s="39">
        <f t="shared" si="17"/>
        <v>44083.199999999997</v>
      </c>
      <c r="T76" s="40">
        <f t="shared" si="18"/>
        <v>161638.39999999999</v>
      </c>
      <c r="U76" s="41">
        <f t="shared" si="19"/>
        <v>1631080</v>
      </c>
    </row>
    <row r="77" spans="2:21" s="28" customFormat="1" ht="34.5" customHeight="1">
      <c r="B77" s="29">
        <v>74</v>
      </c>
      <c r="C77" s="29" t="str">
        <f>'[1]B(근태)'!B445</f>
        <v>이현정C</v>
      </c>
      <c r="D77" s="30">
        <v>10320</v>
      </c>
      <c r="E77" s="31">
        <f>'[1]B(근태)'!AL445</f>
        <v>96</v>
      </c>
      <c r="F77" s="32">
        <f t="shared" si="11"/>
        <v>990720</v>
      </c>
      <c r="G77" s="33">
        <f>'[1]B(근태)'!AL446</f>
        <v>6</v>
      </c>
      <c r="H77" s="32">
        <f t="shared" si="12"/>
        <v>92880</v>
      </c>
      <c r="I77" s="33">
        <f>'[1]B(근태)'!AL447</f>
        <v>16</v>
      </c>
      <c r="J77" s="35">
        <f t="shared" si="13"/>
        <v>247680</v>
      </c>
      <c r="K77" s="33">
        <f>'[1]B(근태)'!AL448</f>
        <v>0</v>
      </c>
      <c r="L77" s="35">
        <f t="shared" si="14"/>
        <v>0</v>
      </c>
      <c r="M77" s="33">
        <f>'[1]B(근태)'!AL449</f>
        <v>0</v>
      </c>
      <c r="N77" s="32">
        <f t="shared" si="10"/>
        <v>0</v>
      </c>
      <c r="O77" s="35">
        <v>6000</v>
      </c>
      <c r="P77" s="63"/>
      <c r="Q77" s="37">
        <f t="shared" si="15"/>
        <v>1337280</v>
      </c>
      <c r="R77" s="38">
        <f t="shared" si="16"/>
        <v>106982.40000000001</v>
      </c>
      <c r="S77" s="39">
        <f t="shared" si="17"/>
        <v>40118.400000000001</v>
      </c>
      <c r="T77" s="40">
        <f t="shared" si="18"/>
        <v>147100.80000000002</v>
      </c>
      <c r="U77" s="41">
        <f t="shared" si="19"/>
        <v>1484390</v>
      </c>
    </row>
    <row r="78" spans="2:21" s="28" customFormat="1" ht="34.5" customHeight="1">
      <c r="B78" s="29">
        <v>75</v>
      </c>
      <c r="C78" s="29" t="str">
        <f>'[1]B(근태)'!B451</f>
        <v>이효진</v>
      </c>
      <c r="D78" s="30">
        <v>10320</v>
      </c>
      <c r="E78" s="31">
        <f>'[1]B(근태)'!AL451</f>
        <v>8</v>
      </c>
      <c r="F78" s="32">
        <f t="shared" si="11"/>
        <v>82560</v>
      </c>
      <c r="G78" s="33">
        <f>'[1]B(근태)'!AL452</f>
        <v>0</v>
      </c>
      <c r="H78" s="32">
        <f t="shared" si="12"/>
        <v>0</v>
      </c>
      <c r="I78" s="33">
        <f>'[1]B(근태)'!AL453</f>
        <v>0</v>
      </c>
      <c r="J78" s="35">
        <f t="shared" si="13"/>
        <v>0</v>
      </c>
      <c r="K78" s="33">
        <f>'[1]B(근태)'!AL454</f>
        <v>0</v>
      </c>
      <c r="L78" s="35">
        <f t="shared" si="14"/>
        <v>0</v>
      </c>
      <c r="M78" s="33">
        <f>'[1]B(근태)'!AL455</f>
        <v>0</v>
      </c>
      <c r="N78" s="32">
        <f t="shared" si="10"/>
        <v>0</v>
      </c>
      <c r="O78" s="35">
        <v>0</v>
      </c>
      <c r="P78" s="63"/>
      <c r="Q78" s="37">
        <f t="shared" si="15"/>
        <v>82560</v>
      </c>
      <c r="R78" s="38">
        <f t="shared" si="16"/>
        <v>6604.8</v>
      </c>
      <c r="S78" s="39">
        <f t="shared" si="17"/>
        <v>2476.7999999999997</v>
      </c>
      <c r="T78" s="40">
        <f t="shared" si="18"/>
        <v>9081.6</v>
      </c>
      <c r="U78" s="41">
        <f t="shared" si="19"/>
        <v>91650</v>
      </c>
    </row>
    <row r="79" spans="2:21" s="28" customFormat="1" ht="34.5" customHeight="1">
      <c r="B79" s="29">
        <v>76</v>
      </c>
      <c r="C79" s="29" t="str">
        <f>'[1]B(근태)'!B457</f>
        <v>문지현</v>
      </c>
      <c r="D79" s="30">
        <v>10320</v>
      </c>
      <c r="E79" s="31">
        <f>'[1]B(근태)'!AL457</f>
        <v>10</v>
      </c>
      <c r="F79" s="32">
        <f t="shared" si="11"/>
        <v>103200</v>
      </c>
      <c r="G79" s="33">
        <f>'[1]B(근태)'!AL458</f>
        <v>0</v>
      </c>
      <c r="H79" s="32">
        <f t="shared" si="12"/>
        <v>0</v>
      </c>
      <c r="I79" s="33">
        <f>'[1]B(근태)'!AL459</f>
        <v>0</v>
      </c>
      <c r="J79" s="35">
        <f t="shared" si="13"/>
        <v>0</v>
      </c>
      <c r="K79" s="33">
        <f>'[1]B(근태)'!AL460</f>
        <v>0</v>
      </c>
      <c r="L79" s="35">
        <f t="shared" si="14"/>
        <v>0</v>
      </c>
      <c r="M79" s="33">
        <f>'[1]B(근태)'!AL461</f>
        <v>0</v>
      </c>
      <c r="N79" s="32">
        <f t="shared" si="10"/>
        <v>0</v>
      </c>
      <c r="O79" s="35">
        <v>0</v>
      </c>
      <c r="P79" s="63"/>
      <c r="Q79" s="37">
        <f t="shared" si="15"/>
        <v>103200</v>
      </c>
      <c r="R79" s="38">
        <f t="shared" si="16"/>
        <v>8256</v>
      </c>
      <c r="S79" s="39">
        <f t="shared" si="17"/>
        <v>3096</v>
      </c>
      <c r="T79" s="40">
        <f t="shared" si="18"/>
        <v>11352</v>
      </c>
      <c r="U79" s="41">
        <f t="shared" si="19"/>
        <v>114560</v>
      </c>
    </row>
    <row r="80" spans="2:21" s="28" customFormat="1" ht="34.5" customHeight="1">
      <c r="B80" s="29">
        <v>77</v>
      </c>
      <c r="C80" s="29" t="str">
        <f>'[1]B(근태)'!B463</f>
        <v>문지수</v>
      </c>
      <c r="D80" s="30">
        <v>10320</v>
      </c>
      <c r="E80" s="31">
        <f>'[1]B(근태)'!AL463</f>
        <v>10</v>
      </c>
      <c r="F80" s="32">
        <f t="shared" si="11"/>
        <v>103200</v>
      </c>
      <c r="G80" s="33">
        <f>'[1]B(근태)'!AL464</f>
        <v>0</v>
      </c>
      <c r="H80" s="32">
        <f t="shared" si="12"/>
        <v>0</v>
      </c>
      <c r="I80" s="33">
        <f>'[1]B(근태)'!AL465</f>
        <v>0</v>
      </c>
      <c r="J80" s="35">
        <f t="shared" si="13"/>
        <v>0</v>
      </c>
      <c r="K80" s="33">
        <f>'[1]B(근태)'!AL466</f>
        <v>0</v>
      </c>
      <c r="L80" s="35">
        <f t="shared" si="14"/>
        <v>0</v>
      </c>
      <c r="M80" s="33">
        <f>'[1]B(근태)'!AL467</f>
        <v>0</v>
      </c>
      <c r="N80" s="32">
        <f t="shared" si="10"/>
        <v>0</v>
      </c>
      <c r="O80" s="35">
        <v>0</v>
      </c>
      <c r="P80" s="63"/>
      <c r="Q80" s="37">
        <f t="shared" si="15"/>
        <v>103200</v>
      </c>
      <c r="R80" s="38">
        <f t="shared" si="16"/>
        <v>8256</v>
      </c>
      <c r="S80" s="39">
        <f t="shared" si="17"/>
        <v>3096</v>
      </c>
      <c r="T80" s="40">
        <f t="shared" si="18"/>
        <v>11352</v>
      </c>
      <c r="U80" s="41">
        <f t="shared" si="19"/>
        <v>114560</v>
      </c>
    </row>
    <row r="81" spans="2:21" s="28" customFormat="1" ht="34.5" customHeight="1">
      <c r="B81" s="29">
        <v>78</v>
      </c>
      <c r="C81" s="29" t="str">
        <f>'[1]B(근태)'!B469</f>
        <v>최윤희</v>
      </c>
      <c r="D81" s="30">
        <v>10320</v>
      </c>
      <c r="E81" s="31">
        <f>'[1]B(근태)'!AL469</f>
        <v>48</v>
      </c>
      <c r="F81" s="32">
        <f t="shared" si="11"/>
        <v>495360</v>
      </c>
      <c r="G81" s="33">
        <f>'[1]B(근태)'!AL470</f>
        <v>0</v>
      </c>
      <c r="H81" s="32">
        <f t="shared" si="12"/>
        <v>0</v>
      </c>
      <c r="I81" s="33">
        <f>'[1]B(근태)'!AL471</f>
        <v>0</v>
      </c>
      <c r="J81" s="35">
        <f t="shared" si="13"/>
        <v>0</v>
      </c>
      <c r="K81" s="33">
        <f>'[1]B(근태)'!AL472</f>
        <v>0</v>
      </c>
      <c r="L81" s="35">
        <f t="shared" si="14"/>
        <v>0</v>
      </c>
      <c r="M81" s="33">
        <f>'[1]B(근태)'!AL473</f>
        <v>0</v>
      </c>
      <c r="N81" s="32">
        <f t="shared" si="10"/>
        <v>0</v>
      </c>
      <c r="O81" s="35">
        <v>0</v>
      </c>
      <c r="P81" s="63"/>
      <c r="Q81" s="37">
        <f t="shared" si="15"/>
        <v>495360</v>
      </c>
      <c r="R81" s="38">
        <f t="shared" si="16"/>
        <v>39628.800000000003</v>
      </c>
      <c r="S81" s="39">
        <f t="shared" si="17"/>
        <v>14860.8</v>
      </c>
      <c r="T81" s="40">
        <f t="shared" si="18"/>
        <v>54489.600000000006</v>
      </c>
      <c r="U81" s="41">
        <f t="shared" si="19"/>
        <v>549850</v>
      </c>
    </row>
    <row r="82" spans="2:21" s="28" customFormat="1" ht="34.5" customHeight="1">
      <c r="B82" s="29">
        <v>79</v>
      </c>
      <c r="C82" s="29" t="str">
        <f>'[1]B(근태)'!B475</f>
        <v>원차연</v>
      </c>
      <c r="D82" s="30">
        <v>10320</v>
      </c>
      <c r="E82" s="31">
        <f>'[1]B(근태)'!AL475</f>
        <v>16</v>
      </c>
      <c r="F82" s="32">
        <f t="shared" si="11"/>
        <v>165120</v>
      </c>
      <c r="G82" s="33">
        <f>'[1]B(근태)'!AL476</f>
        <v>0</v>
      </c>
      <c r="H82" s="32">
        <f t="shared" si="12"/>
        <v>0</v>
      </c>
      <c r="I82" s="33">
        <f>'[1]B(근태)'!AL477</f>
        <v>0</v>
      </c>
      <c r="J82" s="35">
        <f t="shared" si="13"/>
        <v>0</v>
      </c>
      <c r="K82" s="33">
        <f>'[1]B(근태)'!AL478</f>
        <v>0</v>
      </c>
      <c r="L82" s="35">
        <f t="shared" si="14"/>
        <v>0</v>
      </c>
      <c r="M82" s="33">
        <f>'[1]B(근태)'!AL479</f>
        <v>0</v>
      </c>
      <c r="N82" s="32">
        <f t="shared" si="10"/>
        <v>0</v>
      </c>
      <c r="O82" s="35">
        <v>0</v>
      </c>
      <c r="P82" s="63"/>
      <c r="Q82" s="37">
        <f t="shared" si="15"/>
        <v>165120</v>
      </c>
      <c r="R82" s="38">
        <f t="shared" si="16"/>
        <v>13209.6</v>
      </c>
      <c r="S82" s="39">
        <f t="shared" si="17"/>
        <v>4953.5999999999995</v>
      </c>
      <c r="T82" s="40">
        <f t="shared" si="18"/>
        <v>18163.2</v>
      </c>
      <c r="U82" s="41">
        <f t="shared" si="19"/>
        <v>183290</v>
      </c>
    </row>
    <row r="83" spans="2:21" s="28" customFormat="1" ht="34.5" customHeight="1">
      <c r="B83" s="29">
        <v>80</v>
      </c>
      <c r="C83" s="29" t="str">
        <f>'[1]B(근태)'!B481</f>
        <v>리티민홍</v>
      </c>
      <c r="D83" s="30">
        <v>10320</v>
      </c>
      <c r="E83" s="31">
        <f>'[1]B(근태)'!AL481</f>
        <v>24</v>
      </c>
      <c r="F83" s="32">
        <f t="shared" si="11"/>
        <v>247680</v>
      </c>
      <c r="G83" s="33">
        <f>'[1]B(근태)'!AL482</f>
        <v>0</v>
      </c>
      <c r="H83" s="32">
        <f t="shared" si="12"/>
        <v>0</v>
      </c>
      <c r="I83" s="33">
        <f>'[1]B(근태)'!AL483</f>
        <v>0</v>
      </c>
      <c r="J83" s="35">
        <f t="shared" si="13"/>
        <v>0</v>
      </c>
      <c r="K83" s="33">
        <f>'[1]B(근태)'!AL484</f>
        <v>0</v>
      </c>
      <c r="L83" s="35">
        <f t="shared" si="14"/>
        <v>0</v>
      </c>
      <c r="M83" s="33">
        <f>'[1]B(근태)'!AL485</f>
        <v>0</v>
      </c>
      <c r="N83" s="32">
        <f t="shared" si="10"/>
        <v>0</v>
      </c>
      <c r="O83" s="35">
        <v>0</v>
      </c>
      <c r="P83" s="63"/>
      <c r="Q83" s="37">
        <f t="shared" si="15"/>
        <v>247680</v>
      </c>
      <c r="R83" s="38">
        <f t="shared" si="16"/>
        <v>19814.400000000001</v>
      </c>
      <c r="S83" s="39">
        <f t="shared" si="17"/>
        <v>7430.4</v>
      </c>
      <c r="T83" s="40">
        <f t="shared" si="18"/>
        <v>27244.800000000003</v>
      </c>
      <c r="U83" s="41">
        <f t="shared" si="19"/>
        <v>274930</v>
      </c>
    </row>
    <row r="84" spans="2:21" s="28" customFormat="1" ht="34.5" customHeight="1">
      <c r="B84" s="29">
        <v>81</v>
      </c>
      <c r="C84" s="29" t="str">
        <f>'[1]B(근태)'!B487</f>
        <v>박주연</v>
      </c>
      <c r="D84" s="30">
        <v>10320</v>
      </c>
      <c r="E84" s="31">
        <f>'[1]B(근태)'!AL487</f>
        <v>8</v>
      </c>
      <c r="F84" s="32">
        <f t="shared" si="11"/>
        <v>82560</v>
      </c>
      <c r="G84" s="33">
        <f>'[1]B(근태)'!AL488</f>
        <v>0</v>
      </c>
      <c r="H84" s="32">
        <f t="shared" si="12"/>
        <v>0</v>
      </c>
      <c r="I84" s="33">
        <f>'[1]B(근태)'!AL489</f>
        <v>0</v>
      </c>
      <c r="J84" s="35">
        <f t="shared" si="13"/>
        <v>0</v>
      </c>
      <c r="K84" s="33">
        <f>'[1]B(근태)'!AL490</f>
        <v>0</v>
      </c>
      <c r="L84" s="35">
        <f t="shared" si="14"/>
        <v>0</v>
      </c>
      <c r="M84" s="33">
        <f>'[1]B(근태)'!AL491</f>
        <v>0</v>
      </c>
      <c r="N84" s="32">
        <f t="shared" si="10"/>
        <v>0</v>
      </c>
      <c r="O84" s="35">
        <v>0</v>
      </c>
      <c r="P84" s="63"/>
      <c r="Q84" s="37">
        <f t="shared" si="15"/>
        <v>82560</v>
      </c>
      <c r="R84" s="38">
        <f t="shared" si="16"/>
        <v>6604.8</v>
      </c>
      <c r="S84" s="39">
        <f t="shared" si="17"/>
        <v>2476.7999999999997</v>
      </c>
      <c r="T84" s="40">
        <f t="shared" si="18"/>
        <v>9081.6</v>
      </c>
      <c r="U84" s="41">
        <f t="shared" si="19"/>
        <v>91650</v>
      </c>
    </row>
    <row r="85" spans="2:21" s="28" customFormat="1" ht="32.25" customHeight="1">
      <c r="B85" s="29">
        <v>82</v>
      </c>
      <c r="C85" s="29" t="str">
        <f>'[1]B(근태)'!B493</f>
        <v>이주성</v>
      </c>
      <c r="D85" s="30">
        <v>10320</v>
      </c>
      <c r="E85" s="31">
        <f>'[1]B(근태)'!AL493</f>
        <v>8</v>
      </c>
      <c r="F85" s="32">
        <f t="shared" si="11"/>
        <v>82560</v>
      </c>
      <c r="G85" s="33">
        <f>'[1]B(근태)'!AL494</f>
        <v>0</v>
      </c>
      <c r="H85" s="32">
        <f t="shared" si="12"/>
        <v>0</v>
      </c>
      <c r="I85" s="33">
        <f>'[1]B(근태)'!AL495</f>
        <v>0</v>
      </c>
      <c r="J85" s="35">
        <f t="shared" si="13"/>
        <v>0</v>
      </c>
      <c r="K85" s="33">
        <f>'[1]B(근태)'!AL496</f>
        <v>0</v>
      </c>
      <c r="L85" s="35">
        <f t="shared" si="14"/>
        <v>0</v>
      </c>
      <c r="M85" s="33">
        <f>'[1]B(근태)'!AL497</f>
        <v>0</v>
      </c>
      <c r="N85" s="32">
        <f t="shared" si="10"/>
        <v>0</v>
      </c>
      <c r="O85" s="35">
        <v>0</v>
      </c>
      <c r="P85" s="63"/>
      <c r="Q85" s="37">
        <f t="shared" si="15"/>
        <v>82560</v>
      </c>
      <c r="R85" s="38">
        <f t="shared" si="16"/>
        <v>6604.8</v>
      </c>
      <c r="S85" s="39">
        <f t="shared" si="17"/>
        <v>2476.7999999999997</v>
      </c>
      <c r="T85" s="40">
        <f t="shared" si="18"/>
        <v>9081.6</v>
      </c>
      <c r="U85" s="41">
        <f t="shared" si="19"/>
        <v>91650</v>
      </c>
    </row>
    <row r="86" spans="2:21" s="28" customFormat="1" ht="34.5" customHeight="1">
      <c r="B86" s="29">
        <v>83</v>
      </c>
      <c r="C86" s="29" t="str">
        <f>'[1]B(근태)'!B499</f>
        <v>최보경</v>
      </c>
      <c r="D86" s="30">
        <v>10320</v>
      </c>
      <c r="E86" s="31">
        <f>'[1]B(근태)'!AL499</f>
        <v>8</v>
      </c>
      <c r="F86" s="32">
        <f t="shared" si="11"/>
        <v>82560</v>
      </c>
      <c r="G86" s="33">
        <f>'[1]B(근태)'!AL500</f>
        <v>0</v>
      </c>
      <c r="H86" s="32">
        <f t="shared" si="12"/>
        <v>0</v>
      </c>
      <c r="I86" s="33">
        <f>'[1]B(근태)'!AL501</f>
        <v>0</v>
      </c>
      <c r="J86" s="35">
        <f t="shared" si="13"/>
        <v>0</v>
      </c>
      <c r="K86" s="33">
        <f>'[1]B(근태)'!AL502</f>
        <v>0</v>
      </c>
      <c r="L86" s="35">
        <f t="shared" si="14"/>
        <v>0</v>
      </c>
      <c r="M86" s="33">
        <f>'[1]B(근태)'!AL503</f>
        <v>0</v>
      </c>
      <c r="N86" s="32">
        <f t="shared" si="10"/>
        <v>0</v>
      </c>
      <c r="O86" s="35">
        <v>0</v>
      </c>
      <c r="P86" s="63"/>
      <c r="Q86" s="37">
        <f t="shared" si="15"/>
        <v>82560</v>
      </c>
      <c r="R86" s="38">
        <f t="shared" si="16"/>
        <v>6604.8</v>
      </c>
      <c r="S86" s="39">
        <f t="shared" si="17"/>
        <v>2476.7999999999997</v>
      </c>
      <c r="T86" s="40">
        <f t="shared" si="18"/>
        <v>9081.6</v>
      </c>
      <c r="U86" s="41">
        <f t="shared" si="19"/>
        <v>91650</v>
      </c>
    </row>
    <row r="87" spans="2:21" s="28" customFormat="1" ht="34.5" customHeight="1">
      <c r="B87" s="29">
        <v>84</v>
      </c>
      <c r="C87" s="29" t="str">
        <f>'[1]B(근태)'!B505</f>
        <v>김유진E</v>
      </c>
      <c r="D87" s="30">
        <v>10320</v>
      </c>
      <c r="E87" s="31">
        <f>'[1]B(근태)'!AL505</f>
        <v>8</v>
      </c>
      <c r="F87" s="32">
        <f t="shared" si="11"/>
        <v>82560</v>
      </c>
      <c r="G87" s="33">
        <f>'[1]B(근태)'!AL506</f>
        <v>0</v>
      </c>
      <c r="H87" s="32">
        <f t="shared" si="12"/>
        <v>0</v>
      </c>
      <c r="I87" s="33">
        <f>'[1]B(근태)'!AL507</f>
        <v>0</v>
      </c>
      <c r="J87" s="35">
        <f t="shared" si="13"/>
        <v>0</v>
      </c>
      <c r="K87" s="33">
        <f>'[1]B(근태)'!AL508</f>
        <v>0</v>
      </c>
      <c r="L87" s="35">
        <f t="shared" si="14"/>
        <v>0</v>
      </c>
      <c r="M87" s="33">
        <f>'[1]B(근태)'!AL509</f>
        <v>0</v>
      </c>
      <c r="N87" s="32">
        <f t="shared" si="10"/>
        <v>0</v>
      </c>
      <c r="O87" s="35">
        <v>0</v>
      </c>
      <c r="P87" s="63"/>
      <c r="Q87" s="37">
        <f t="shared" si="15"/>
        <v>82560</v>
      </c>
      <c r="R87" s="38">
        <f t="shared" si="16"/>
        <v>6604.8</v>
      </c>
      <c r="S87" s="39">
        <f t="shared" si="17"/>
        <v>2476.7999999999997</v>
      </c>
      <c r="T87" s="40">
        <f t="shared" si="18"/>
        <v>9081.6</v>
      </c>
      <c r="U87" s="41">
        <f t="shared" si="19"/>
        <v>91650</v>
      </c>
    </row>
    <row r="88" spans="2:21" s="28" customFormat="1" ht="34.5" customHeight="1">
      <c r="B88" s="29">
        <v>85</v>
      </c>
      <c r="C88" s="64" t="str">
        <f>'[1]B(근태)'!B511</f>
        <v>이정화B</v>
      </c>
      <c r="D88" s="30">
        <v>10320</v>
      </c>
      <c r="E88" s="31">
        <f>'[1]B(근태)'!AL511</f>
        <v>8</v>
      </c>
      <c r="F88" s="32">
        <f t="shared" si="11"/>
        <v>82560</v>
      </c>
      <c r="G88" s="33">
        <f>'[1]B(근태)'!AL512</f>
        <v>0</v>
      </c>
      <c r="H88" s="32">
        <f t="shared" si="12"/>
        <v>0</v>
      </c>
      <c r="I88" s="33">
        <f>'[1]B(근태)'!AL513</f>
        <v>0</v>
      </c>
      <c r="J88" s="35">
        <f t="shared" si="13"/>
        <v>0</v>
      </c>
      <c r="K88" s="33">
        <f>'[1]B(근태)'!AL514</f>
        <v>0</v>
      </c>
      <c r="L88" s="35">
        <f t="shared" si="14"/>
        <v>0</v>
      </c>
      <c r="M88" s="33">
        <f>'[1]B(근태)'!AL515</f>
        <v>0</v>
      </c>
      <c r="N88" s="32">
        <f t="shared" si="10"/>
        <v>0</v>
      </c>
      <c r="O88" s="35">
        <v>0</v>
      </c>
      <c r="P88" s="63"/>
      <c r="Q88" s="37">
        <f t="shared" si="15"/>
        <v>82560</v>
      </c>
      <c r="R88" s="38">
        <f t="shared" si="16"/>
        <v>6604.8</v>
      </c>
      <c r="S88" s="39">
        <f t="shared" si="17"/>
        <v>2476.7999999999997</v>
      </c>
      <c r="T88" s="40">
        <f t="shared" si="18"/>
        <v>9081.6</v>
      </c>
      <c r="U88" s="41">
        <f t="shared" si="19"/>
        <v>91650</v>
      </c>
    </row>
    <row r="89" spans="2:21" s="28" customFormat="1" ht="34.5" customHeight="1">
      <c r="B89" s="29">
        <v>86</v>
      </c>
      <c r="C89" s="29" t="str">
        <f>'[1]B(근태)'!B517</f>
        <v>최금화</v>
      </c>
      <c r="D89" s="30">
        <v>10320</v>
      </c>
      <c r="E89" s="31">
        <f>'[1]B(근태)'!AL517</f>
        <v>8</v>
      </c>
      <c r="F89" s="32">
        <f t="shared" si="11"/>
        <v>82560</v>
      </c>
      <c r="G89" s="33">
        <f>'[1]B(근태)'!AL518</f>
        <v>0</v>
      </c>
      <c r="H89" s="32">
        <f t="shared" si="12"/>
        <v>0</v>
      </c>
      <c r="I89" s="33">
        <f>'[1]B(근태)'!AL519</f>
        <v>0</v>
      </c>
      <c r="J89" s="35">
        <f t="shared" si="13"/>
        <v>0</v>
      </c>
      <c r="K89" s="33">
        <f>'[1]B(근태)'!AL520</f>
        <v>0</v>
      </c>
      <c r="L89" s="35">
        <f t="shared" si="14"/>
        <v>0</v>
      </c>
      <c r="M89" s="33">
        <f>'[1]B(근태)'!AL521</f>
        <v>0</v>
      </c>
      <c r="N89" s="32">
        <f t="shared" si="10"/>
        <v>0</v>
      </c>
      <c r="O89" s="35">
        <v>0</v>
      </c>
      <c r="P89" s="63"/>
      <c r="Q89" s="37">
        <f t="shared" si="15"/>
        <v>82560</v>
      </c>
      <c r="R89" s="38">
        <f t="shared" si="16"/>
        <v>6604.8</v>
      </c>
      <c r="S89" s="39">
        <f t="shared" si="17"/>
        <v>2476.7999999999997</v>
      </c>
      <c r="T89" s="40">
        <f t="shared" si="18"/>
        <v>9081.6</v>
      </c>
      <c r="U89" s="41">
        <f t="shared" si="19"/>
        <v>91650</v>
      </c>
    </row>
    <row r="90" spans="2:21" s="28" customFormat="1" ht="34.5" customHeight="1" thickBot="1">
      <c r="B90" s="29">
        <v>87</v>
      </c>
      <c r="C90" s="29" t="str">
        <f>'[1]B(근태)'!B523</f>
        <v>김미경</v>
      </c>
      <c r="D90" s="30">
        <v>10320</v>
      </c>
      <c r="E90" s="31">
        <f>'[1]B(근태)'!AL523</f>
        <v>8</v>
      </c>
      <c r="F90" s="32">
        <f t="shared" si="11"/>
        <v>82560</v>
      </c>
      <c r="G90" s="33">
        <f>'[1]B(근태)'!AL524</f>
        <v>0</v>
      </c>
      <c r="H90" s="32">
        <f t="shared" si="12"/>
        <v>0</v>
      </c>
      <c r="I90" s="33">
        <f>'[1]B(근태)'!AL525</f>
        <v>0</v>
      </c>
      <c r="J90" s="35">
        <f t="shared" si="13"/>
        <v>0</v>
      </c>
      <c r="K90" s="33">
        <f>'[1]B(근태)'!AL526</f>
        <v>0</v>
      </c>
      <c r="L90" s="35">
        <f t="shared" si="14"/>
        <v>0</v>
      </c>
      <c r="M90" s="33">
        <f>'[1]B(근태)'!AL527</f>
        <v>0</v>
      </c>
      <c r="N90" s="32">
        <f t="shared" si="10"/>
        <v>0</v>
      </c>
      <c r="O90" s="35">
        <v>0</v>
      </c>
      <c r="P90" s="63"/>
      <c r="Q90" s="37">
        <f t="shared" ref="Q90:Q153" si="20">SUBTOTAL(9,F90,H90,L90,J90,P90,O90,N90)</f>
        <v>82560</v>
      </c>
      <c r="R90" s="38">
        <f t="shared" si="16"/>
        <v>6604.8</v>
      </c>
      <c r="S90" s="39">
        <f t="shared" si="17"/>
        <v>2476.7999999999997</v>
      </c>
      <c r="T90" s="60">
        <f>SUM(R90:S90)</f>
        <v>9081.6</v>
      </c>
      <c r="U90" s="41">
        <f>ROUNDUP(SUM(Q90+T90),-1)</f>
        <v>91650</v>
      </c>
    </row>
    <row r="91" spans="2:21" s="28" customFormat="1" ht="34.5" hidden="1" customHeight="1">
      <c r="B91" s="29">
        <v>88</v>
      </c>
      <c r="C91" s="29">
        <f>'[1]B(근태)'!B529</f>
        <v>0</v>
      </c>
      <c r="D91" s="30">
        <v>10320</v>
      </c>
      <c r="E91" s="31">
        <f>'[1]B(근태)'!AL529</f>
        <v>0</v>
      </c>
      <c r="F91" s="32">
        <f t="shared" si="11"/>
        <v>0</v>
      </c>
      <c r="G91" s="33">
        <f>'[1]B(근태)'!AL530</f>
        <v>0</v>
      </c>
      <c r="H91" s="32">
        <f t="shared" si="12"/>
        <v>0</v>
      </c>
      <c r="I91" s="33">
        <f>'[1]B(근태)'!AL531</f>
        <v>0</v>
      </c>
      <c r="J91" s="32">
        <f t="shared" ref="J91:J154" si="21">D91*0.5*I91</f>
        <v>0</v>
      </c>
      <c r="K91" s="33">
        <f>'[1]B(근태)'!AL532</f>
        <v>0</v>
      </c>
      <c r="L91" s="32">
        <f t="shared" si="14"/>
        <v>0</v>
      </c>
      <c r="M91" s="33">
        <f>'[1]B(근태)'!AL533</f>
        <v>0</v>
      </c>
      <c r="N91" s="32">
        <f t="shared" si="10"/>
        <v>0</v>
      </c>
      <c r="O91" s="32"/>
      <c r="P91" s="63"/>
      <c r="Q91" s="37">
        <f t="shared" si="20"/>
        <v>0</v>
      </c>
      <c r="R91" s="58">
        <f t="shared" ref="R91:R154" si="22">Q91*0.9%</f>
        <v>0</v>
      </c>
      <c r="S91" s="58">
        <f t="shared" ref="S91:S154" si="23">Q91*0.7%</f>
        <v>0</v>
      </c>
      <c r="T91" s="60">
        <f t="shared" ref="T91:T99" si="24">SUM(R91:S91)</f>
        <v>0</v>
      </c>
      <c r="U91" s="61">
        <f t="shared" ref="U91:U154" si="25">ROUNDUP(SUM(Q91+T91),-1)</f>
        <v>0</v>
      </c>
    </row>
    <row r="92" spans="2:21" s="28" customFormat="1" ht="34.5" hidden="1" customHeight="1">
      <c r="B92" s="29">
        <v>89</v>
      </c>
      <c r="C92" s="29">
        <f>'[1]B(근태)'!B535</f>
        <v>0</v>
      </c>
      <c r="D92" s="30">
        <v>10320</v>
      </c>
      <c r="E92" s="31">
        <f>'[1]B(근태)'!AL535</f>
        <v>0</v>
      </c>
      <c r="F92" s="32">
        <f t="shared" si="11"/>
        <v>0</v>
      </c>
      <c r="G92" s="33">
        <f>'[1]B(근태)'!AL536</f>
        <v>0</v>
      </c>
      <c r="H92" s="32">
        <f t="shared" si="12"/>
        <v>0</v>
      </c>
      <c r="I92" s="33"/>
      <c r="J92" s="32">
        <f t="shared" si="21"/>
        <v>0</v>
      </c>
      <c r="K92" s="33">
        <f>'[1]B(근태)'!AL538</f>
        <v>0</v>
      </c>
      <c r="L92" s="32">
        <f t="shared" si="14"/>
        <v>0</v>
      </c>
      <c r="M92" s="33">
        <f>'[1]B(근태)'!AL539</f>
        <v>0</v>
      </c>
      <c r="N92" s="32">
        <f t="shared" si="10"/>
        <v>0</v>
      </c>
      <c r="O92" s="32"/>
      <c r="P92" s="63"/>
      <c r="Q92" s="37">
        <f t="shared" si="20"/>
        <v>0</v>
      </c>
      <c r="R92" s="58">
        <f t="shared" si="22"/>
        <v>0</v>
      </c>
      <c r="S92" s="58">
        <f t="shared" si="23"/>
        <v>0</v>
      </c>
      <c r="T92" s="60">
        <f t="shared" si="24"/>
        <v>0</v>
      </c>
      <c r="U92" s="61">
        <f t="shared" si="25"/>
        <v>0</v>
      </c>
    </row>
    <row r="93" spans="2:21" s="28" customFormat="1" ht="34.5" hidden="1" customHeight="1">
      <c r="B93" s="29">
        <v>90</v>
      </c>
      <c r="C93" s="29">
        <f>'[1]B(근태)'!B541</f>
        <v>0</v>
      </c>
      <c r="D93" s="30">
        <v>10320</v>
      </c>
      <c r="E93" s="31">
        <f>'[1]B(근태)'!AL541</f>
        <v>0</v>
      </c>
      <c r="F93" s="32">
        <f t="shared" si="11"/>
        <v>0</v>
      </c>
      <c r="G93" s="33">
        <f>'[1]B(근태)'!AL542</f>
        <v>0</v>
      </c>
      <c r="H93" s="32">
        <f t="shared" si="12"/>
        <v>0</v>
      </c>
      <c r="I93" s="33"/>
      <c r="J93" s="32">
        <f t="shared" si="21"/>
        <v>0</v>
      </c>
      <c r="K93" s="33">
        <f>'[1]B(근태)'!AL544</f>
        <v>0</v>
      </c>
      <c r="L93" s="32">
        <f t="shared" si="14"/>
        <v>0</v>
      </c>
      <c r="M93" s="33">
        <f>'[1]B(근태)'!AL545</f>
        <v>0</v>
      </c>
      <c r="N93" s="32">
        <f t="shared" si="10"/>
        <v>0</v>
      </c>
      <c r="O93" s="32"/>
      <c r="P93" s="63"/>
      <c r="Q93" s="37">
        <f t="shared" si="20"/>
        <v>0</v>
      </c>
      <c r="R93" s="58">
        <f t="shared" si="22"/>
        <v>0</v>
      </c>
      <c r="S93" s="58">
        <f t="shared" si="23"/>
        <v>0</v>
      </c>
      <c r="T93" s="60">
        <f t="shared" si="24"/>
        <v>0</v>
      </c>
      <c r="U93" s="61">
        <f t="shared" si="25"/>
        <v>0</v>
      </c>
    </row>
    <row r="94" spans="2:21" s="28" customFormat="1" ht="34.5" hidden="1" customHeight="1">
      <c r="B94" s="29">
        <v>91</v>
      </c>
      <c r="C94" s="29">
        <f>'[1]B(근태)'!B547</f>
        <v>0</v>
      </c>
      <c r="D94" s="30">
        <v>10320</v>
      </c>
      <c r="E94" s="31">
        <f>'[1]B(근태)'!AL547</f>
        <v>0</v>
      </c>
      <c r="F94" s="32">
        <f t="shared" si="11"/>
        <v>0</v>
      </c>
      <c r="G94" s="33">
        <f>'[1]B(근태)'!AL548</f>
        <v>0</v>
      </c>
      <c r="H94" s="32">
        <f t="shared" si="12"/>
        <v>0</v>
      </c>
      <c r="I94" s="33"/>
      <c r="J94" s="32">
        <f t="shared" si="21"/>
        <v>0</v>
      </c>
      <c r="K94" s="33">
        <f>'[1]B(근태)'!AL550</f>
        <v>0</v>
      </c>
      <c r="L94" s="32">
        <f t="shared" si="14"/>
        <v>0</v>
      </c>
      <c r="M94" s="33">
        <f>'[1]B(근태)'!AL551</f>
        <v>0</v>
      </c>
      <c r="N94" s="32">
        <f t="shared" si="10"/>
        <v>0</v>
      </c>
      <c r="O94" s="32"/>
      <c r="P94" s="63"/>
      <c r="Q94" s="37">
        <f t="shared" si="20"/>
        <v>0</v>
      </c>
      <c r="R94" s="58">
        <f t="shared" si="22"/>
        <v>0</v>
      </c>
      <c r="S94" s="58">
        <f t="shared" si="23"/>
        <v>0</v>
      </c>
      <c r="T94" s="60">
        <f t="shared" si="24"/>
        <v>0</v>
      </c>
      <c r="U94" s="61">
        <f t="shared" si="25"/>
        <v>0</v>
      </c>
    </row>
    <row r="95" spans="2:21" s="28" customFormat="1" ht="34.5" hidden="1" customHeight="1">
      <c r="B95" s="29">
        <v>92</v>
      </c>
      <c r="C95" s="29">
        <f>'[1]B(근태)'!B553</f>
        <v>0</v>
      </c>
      <c r="D95" s="30">
        <v>10320</v>
      </c>
      <c r="E95" s="31">
        <f>'[1]B(근태)'!AL553</f>
        <v>0</v>
      </c>
      <c r="F95" s="32">
        <f t="shared" si="11"/>
        <v>0</v>
      </c>
      <c r="G95" s="33">
        <f>'[1]B(근태)'!AL554</f>
        <v>0</v>
      </c>
      <c r="H95" s="32">
        <f t="shared" si="12"/>
        <v>0</v>
      </c>
      <c r="I95" s="33"/>
      <c r="J95" s="32">
        <f t="shared" si="21"/>
        <v>0</v>
      </c>
      <c r="K95" s="33">
        <f>'[1]B(근태)'!AL556</f>
        <v>0</v>
      </c>
      <c r="L95" s="32">
        <f t="shared" si="14"/>
        <v>0</v>
      </c>
      <c r="M95" s="33">
        <f>'[1]B(근태)'!AL557</f>
        <v>0</v>
      </c>
      <c r="N95" s="32">
        <f t="shared" si="10"/>
        <v>0</v>
      </c>
      <c r="O95" s="32"/>
      <c r="P95" s="63"/>
      <c r="Q95" s="37">
        <f t="shared" si="20"/>
        <v>0</v>
      </c>
      <c r="R95" s="58">
        <f t="shared" si="22"/>
        <v>0</v>
      </c>
      <c r="S95" s="58">
        <f t="shared" si="23"/>
        <v>0</v>
      </c>
      <c r="T95" s="60">
        <f t="shared" si="24"/>
        <v>0</v>
      </c>
      <c r="U95" s="61">
        <f t="shared" si="25"/>
        <v>0</v>
      </c>
    </row>
    <row r="96" spans="2:21" s="28" customFormat="1" ht="34.5" hidden="1" customHeight="1">
      <c r="B96" s="29">
        <v>93</v>
      </c>
      <c r="C96" s="29">
        <f>'[1]B(근태)'!B559</f>
        <v>0</v>
      </c>
      <c r="D96" s="30">
        <v>10320</v>
      </c>
      <c r="E96" s="31">
        <f>'[1]B(근태)'!AL559</f>
        <v>0</v>
      </c>
      <c r="F96" s="32">
        <f t="shared" si="11"/>
        <v>0</v>
      </c>
      <c r="G96" s="33">
        <f>'[1]B(근태)'!AL560</f>
        <v>0</v>
      </c>
      <c r="H96" s="32">
        <f t="shared" si="12"/>
        <v>0</v>
      </c>
      <c r="I96" s="33"/>
      <c r="J96" s="32">
        <f t="shared" si="21"/>
        <v>0</v>
      </c>
      <c r="K96" s="33">
        <f>'[1]B(근태)'!AL562</f>
        <v>0</v>
      </c>
      <c r="L96" s="32">
        <f t="shared" si="14"/>
        <v>0</v>
      </c>
      <c r="M96" s="33">
        <f>'[1]B(근태)'!AL563</f>
        <v>0</v>
      </c>
      <c r="N96" s="32">
        <f t="shared" si="10"/>
        <v>0</v>
      </c>
      <c r="O96" s="32"/>
      <c r="P96" s="63"/>
      <c r="Q96" s="37">
        <f t="shared" si="20"/>
        <v>0</v>
      </c>
      <c r="R96" s="58">
        <f t="shared" si="22"/>
        <v>0</v>
      </c>
      <c r="S96" s="58">
        <f t="shared" si="23"/>
        <v>0</v>
      </c>
      <c r="T96" s="60">
        <f t="shared" si="24"/>
        <v>0</v>
      </c>
      <c r="U96" s="61">
        <f t="shared" si="25"/>
        <v>0</v>
      </c>
    </row>
    <row r="97" spans="2:21" s="28" customFormat="1" ht="34.5" hidden="1" customHeight="1">
      <c r="B97" s="29">
        <v>94</v>
      </c>
      <c r="C97" s="29">
        <f>'[1]B(근태)'!B565</f>
        <v>0</v>
      </c>
      <c r="D97" s="30">
        <v>10320</v>
      </c>
      <c r="E97" s="31">
        <f>'[1]B(근태)'!AL565</f>
        <v>0</v>
      </c>
      <c r="F97" s="32">
        <f t="shared" si="11"/>
        <v>0</v>
      </c>
      <c r="G97" s="33">
        <f>'[1]B(근태)'!AL566</f>
        <v>0</v>
      </c>
      <c r="H97" s="32">
        <f t="shared" si="12"/>
        <v>0</v>
      </c>
      <c r="I97" s="33"/>
      <c r="J97" s="32">
        <f t="shared" si="21"/>
        <v>0</v>
      </c>
      <c r="K97" s="33">
        <f>'[1]B(근태)'!AL568</f>
        <v>0</v>
      </c>
      <c r="L97" s="32">
        <f t="shared" si="14"/>
        <v>0</v>
      </c>
      <c r="M97" s="33">
        <f>'[1]B(근태)'!AL569</f>
        <v>0</v>
      </c>
      <c r="N97" s="32">
        <f t="shared" si="10"/>
        <v>0</v>
      </c>
      <c r="O97" s="32"/>
      <c r="P97" s="63"/>
      <c r="Q97" s="37">
        <f t="shared" si="20"/>
        <v>0</v>
      </c>
      <c r="R97" s="58">
        <f t="shared" si="22"/>
        <v>0</v>
      </c>
      <c r="S97" s="58">
        <f t="shared" si="23"/>
        <v>0</v>
      </c>
      <c r="T97" s="60">
        <f t="shared" si="24"/>
        <v>0</v>
      </c>
      <c r="U97" s="61">
        <f t="shared" si="25"/>
        <v>0</v>
      </c>
    </row>
    <row r="98" spans="2:21" s="28" customFormat="1" ht="34.5" hidden="1" customHeight="1">
      <c r="B98" s="29">
        <v>95</v>
      </c>
      <c r="C98" s="29">
        <f>'[1]B(근태)'!B571</f>
        <v>0</v>
      </c>
      <c r="D98" s="30">
        <v>10320</v>
      </c>
      <c r="E98" s="31">
        <f>'[1]B(근태)'!AL571</f>
        <v>0</v>
      </c>
      <c r="F98" s="32">
        <f t="shared" si="11"/>
        <v>0</v>
      </c>
      <c r="G98" s="33">
        <f>'[1]B(근태)'!AL572</f>
        <v>0</v>
      </c>
      <c r="H98" s="32">
        <f t="shared" si="12"/>
        <v>0</v>
      </c>
      <c r="I98" s="33"/>
      <c r="J98" s="32">
        <f t="shared" si="21"/>
        <v>0</v>
      </c>
      <c r="K98" s="33">
        <f>'[1]B(근태)'!AL574</f>
        <v>0</v>
      </c>
      <c r="L98" s="32">
        <f t="shared" si="14"/>
        <v>0</v>
      </c>
      <c r="M98" s="33">
        <f>'[1]B(근태)'!AL575</f>
        <v>0</v>
      </c>
      <c r="N98" s="32">
        <f t="shared" si="10"/>
        <v>0</v>
      </c>
      <c r="O98" s="32"/>
      <c r="P98" s="63"/>
      <c r="Q98" s="37">
        <f t="shared" si="20"/>
        <v>0</v>
      </c>
      <c r="R98" s="58">
        <f t="shared" si="22"/>
        <v>0</v>
      </c>
      <c r="S98" s="58">
        <f t="shared" si="23"/>
        <v>0</v>
      </c>
      <c r="T98" s="60">
        <f t="shared" si="24"/>
        <v>0</v>
      </c>
      <c r="U98" s="61">
        <f t="shared" si="25"/>
        <v>0</v>
      </c>
    </row>
    <row r="99" spans="2:21" s="28" customFormat="1" ht="34.5" hidden="1" customHeight="1">
      <c r="B99" s="29">
        <v>96</v>
      </c>
      <c r="C99" s="29">
        <f>'[1]B(근태)'!B577</f>
        <v>0</v>
      </c>
      <c r="D99" s="30">
        <v>10320</v>
      </c>
      <c r="E99" s="31">
        <f>'[1]B(근태)'!AL577</f>
        <v>0</v>
      </c>
      <c r="F99" s="32">
        <f t="shared" si="11"/>
        <v>0</v>
      </c>
      <c r="G99" s="33">
        <f>'[1]B(근태)'!AL578</f>
        <v>0</v>
      </c>
      <c r="H99" s="32">
        <f t="shared" si="12"/>
        <v>0</v>
      </c>
      <c r="I99" s="33"/>
      <c r="J99" s="32">
        <f t="shared" si="21"/>
        <v>0</v>
      </c>
      <c r="K99" s="33">
        <f>'[1]B(근태)'!AL580</f>
        <v>0</v>
      </c>
      <c r="L99" s="32">
        <f t="shared" si="14"/>
        <v>0</v>
      </c>
      <c r="M99" s="33">
        <f>'[1]B(근태)'!AL581</f>
        <v>0</v>
      </c>
      <c r="N99" s="32">
        <f t="shared" si="10"/>
        <v>0</v>
      </c>
      <c r="O99" s="32"/>
      <c r="P99" s="63"/>
      <c r="Q99" s="37">
        <f t="shared" si="20"/>
        <v>0</v>
      </c>
      <c r="R99" s="58">
        <f t="shared" si="22"/>
        <v>0</v>
      </c>
      <c r="S99" s="58">
        <f t="shared" si="23"/>
        <v>0</v>
      </c>
      <c r="T99" s="60">
        <f t="shared" si="24"/>
        <v>0</v>
      </c>
      <c r="U99" s="61">
        <f t="shared" si="25"/>
        <v>0</v>
      </c>
    </row>
    <row r="100" spans="2:21" s="28" customFormat="1" ht="34.5" hidden="1" customHeight="1">
      <c r="B100" s="29">
        <v>97</v>
      </c>
      <c r="C100" s="29">
        <f>'[1]B(근태)'!B583</f>
        <v>0</v>
      </c>
      <c r="D100" s="30">
        <v>10320</v>
      </c>
      <c r="E100" s="31">
        <f>'[1]B(근태)'!AL583</f>
        <v>0</v>
      </c>
      <c r="F100" s="32">
        <f t="shared" si="11"/>
        <v>0</v>
      </c>
      <c r="G100" s="33">
        <f>'[1]B(근태)'!AL584</f>
        <v>0</v>
      </c>
      <c r="H100" s="32">
        <f t="shared" si="12"/>
        <v>0</v>
      </c>
      <c r="I100" s="33"/>
      <c r="J100" s="32">
        <f t="shared" si="21"/>
        <v>0</v>
      </c>
      <c r="K100" s="33">
        <f>'[1]B(근태)'!AL586</f>
        <v>0</v>
      </c>
      <c r="L100" s="32">
        <f t="shared" si="14"/>
        <v>0</v>
      </c>
      <c r="M100" s="33">
        <f>'[1]B(근태)'!AL587</f>
        <v>0</v>
      </c>
      <c r="N100" s="32">
        <f t="shared" ref="N100:N164" si="26">M100*D100*2</f>
        <v>0</v>
      </c>
      <c r="O100" s="32"/>
      <c r="P100" s="63"/>
      <c r="Q100" s="37">
        <f t="shared" si="20"/>
        <v>0</v>
      </c>
      <c r="R100" s="58">
        <f t="shared" si="22"/>
        <v>0</v>
      </c>
      <c r="S100" s="58">
        <f t="shared" si="23"/>
        <v>0</v>
      </c>
      <c r="T100" s="60">
        <f t="shared" ref="T100:T163" si="27">SUM(R100:S100)</f>
        <v>0</v>
      </c>
      <c r="U100" s="61">
        <f t="shared" si="25"/>
        <v>0</v>
      </c>
    </row>
    <row r="101" spans="2:21" s="28" customFormat="1" ht="34.5" hidden="1" customHeight="1">
      <c r="B101" s="29">
        <v>98</v>
      </c>
      <c r="C101" s="29">
        <f>'[1]B(근태)'!B589</f>
        <v>0</v>
      </c>
      <c r="D101" s="30">
        <v>10320</v>
      </c>
      <c r="E101" s="31">
        <f>'[1]B(근태)'!AL589</f>
        <v>0</v>
      </c>
      <c r="F101" s="32">
        <f t="shared" si="11"/>
        <v>0</v>
      </c>
      <c r="G101" s="33">
        <f>'[1]B(근태)'!AL590</f>
        <v>0</v>
      </c>
      <c r="H101" s="32">
        <f t="shared" si="12"/>
        <v>0</v>
      </c>
      <c r="I101" s="33"/>
      <c r="J101" s="32">
        <f t="shared" si="21"/>
        <v>0</v>
      </c>
      <c r="K101" s="33">
        <f>'[1]B(근태)'!AL592</f>
        <v>0</v>
      </c>
      <c r="L101" s="32">
        <f t="shared" si="14"/>
        <v>0</v>
      </c>
      <c r="M101" s="33">
        <f>'[1]B(근태)'!AL593</f>
        <v>0</v>
      </c>
      <c r="N101" s="32">
        <f t="shared" si="26"/>
        <v>0</v>
      </c>
      <c r="O101" s="32"/>
      <c r="P101" s="63"/>
      <c r="Q101" s="37">
        <f t="shared" si="20"/>
        <v>0</v>
      </c>
      <c r="R101" s="58">
        <f t="shared" si="22"/>
        <v>0</v>
      </c>
      <c r="S101" s="58">
        <f t="shared" si="23"/>
        <v>0</v>
      </c>
      <c r="T101" s="60">
        <f t="shared" si="27"/>
        <v>0</v>
      </c>
      <c r="U101" s="61">
        <f t="shared" si="25"/>
        <v>0</v>
      </c>
    </row>
    <row r="102" spans="2:21" s="28" customFormat="1" ht="34.5" hidden="1" customHeight="1">
      <c r="B102" s="29">
        <v>99</v>
      </c>
      <c r="C102" s="29">
        <f>'[1]B(근태)'!B595</f>
        <v>0</v>
      </c>
      <c r="D102" s="30">
        <v>10320</v>
      </c>
      <c r="E102" s="31">
        <f>'[1]B(근태)'!AL595</f>
        <v>0</v>
      </c>
      <c r="F102" s="32">
        <f t="shared" si="11"/>
        <v>0</v>
      </c>
      <c r="G102" s="33">
        <f>'[1]B(근태)'!AL596</f>
        <v>0</v>
      </c>
      <c r="H102" s="32">
        <f t="shared" si="12"/>
        <v>0</v>
      </c>
      <c r="I102" s="33"/>
      <c r="J102" s="32">
        <f t="shared" si="21"/>
        <v>0</v>
      </c>
      <c r="K102" s="33">
        <f>'[1]B(근태)'!AL598</f>
        <v>0</v>
      </c>
      <c r="L102" s="32">
        <f t="shared" si="14"/>
        <v>0</v>
      </c>
      <c r="M102" s="33">
        <f>'[1]B(근태)'!AL599</f>
        <v>0</v>
      </c>
      <c r="N102" s="32">
        <f t="shared" si="26"/>
        <v>0</v>
      </c>
      <c r="O102" s="32"/>
      <c r="P102" s="63"/>
      <c r="Q102" s="37">
        <f t="shared" si="20"/>
        <v>0</v>
      </c>
      <c r="R102" s="58">
        <f t="shared" si="22"/>
        <v>0</v>
      </c>
      <c r="S102" s="58">
        <f t="shared" si="23"/>
        <v>0</v>
      </c>
      <c r="T102" s="60">
        <f t="shared" si="27"/>
        <v>0</v>
      </c>
      <c r="U102" s="61">
        <f t="shared" si="25"/>
        <v>0</v>
      </c>
    </row>
    <row r="103" spans="2:21" s="28" customFormat="1" ht="34.5" hidden="1" customHeight="1">
      <c r="B103" s="29">
        <v>100</v>
      </c>
      <c r="C103" s="29">
        <f>'[1]B(근태)'!B601</f>
        <v>0</v>
      </c>
      <c r="D103" s="30">
        <v>10320</v>
      </c>
      <c r="E103" s="31">
        <f>'[1]B(근태)'!AL601</f>
        <v>0</v>
      </c>
      <c r="F103" s="32">
        <f t="shared" si="11"/>
        <v>0</v>
      </c>
      <c r="G103" s="33">
        <f>'[1]B(근태)'!AL602</f>
        <v>0</v>
      </c>
      <c r="H103" s="32">
        <f t="shared" si="12"/>
        <v>0</v>
      </c>
      <c r="I103" s="33">
        <f>'[1]B(근태)'!AL603</f>
        <v>0</v>
      </c>
      <c r="J103" s="32">
        <f t="shared" si="21"/>
        <v>0</v>
      </c>
      <c r="K103" s="33">
        <f>'[1]B(근태)'!AL604</f>
        <v>0</v>
      </c>
      <c r="L103" s="32">
        <f t="shared" si="14"/>
        <v>0</v>
      </c>
      <c r="M103" s="33">
        <f>'[1]B(근태)'!AL605</f>
        <v>0</v>
      </c>
      <c r="N103" s="32">
        <f t="shared" si="26"/>
        <v>0</v>
      </c>
      <c r="O103" s="32"/>
      <c r="P103" s="63"/>
      <c r="Q103" s="37">
        <f t="shared" si="20"/>
        <v>0</v>
      </c>
      <c r="R103" s="58">
        <f t="shared" si="22"/>
        <v>0</v>
      </c>
      <c r="S103" s="58">
        <f t="shared" si="23"/>
        <v>0</v>
      </c>
      <c r="T103" s="60">
        <f t="shared" si="27"/>
        <v>0</v>
      </c>
      <c r="U103" s="61">
        <f t="shared" si="25"/>
        <v>0</v>
      </c>
    </row>
    <row r="104" spans="2:21" s="28" customFormat="1" ht="34.5" hidden="1" customHeight="1">
      <c r="B104" s="29">
        <v>101</v>
      </c>
      <c r="C104" s="29">
        <f>'[1]B(근태)'!B607</f>
        <v>0</v>
      </c>
      <c r="D104" s="30">
        <v>10320</v>
      </c>
      <c r="E104" s="31">
        <f>'[1]B(근태)'!AL607</f>
        <v>0</v>
      </c>
      <c r="F104" s="32">
        <f t="shared" ref="F104:F167" si="28">E104*D104</f>
        <v>0</v>
      </c>
      <c r="G104" s="33">
        <f>'[1]B(근태)'!AL608</f>
        <v>0</v>
      </c>
      <c r="H104" s="32">
        <f t="shared" si="12"/>
        <v>0</v>
      </c>
      <c r="I104" s="33">
        <f>'[1]B(근태)'!AL609</f>
        <v>0</v>
      </c>
      <c r="J104" s="32">
        <f t="shared" si="21"/>
        <v>0</v>
      </c>
      <c r="K104" s="33">
        <f>'[1]B(근태)'!AL610</f>
        <v>0</v>
      </c>
      <c r="L104" s="32">
        <f t="shared" si="14"/>
        <v>0</v>
      </c>
      <c r="M104" s="33">
        <f>'[1]B(근태)'!AL611</f>
        <v>0</v>
      </c>
      <c r="N104" s="32">
        <f t="shared" si="26"/>
        <v>0</v>
      </c>
      <c r="O104" s="32"/>
      <c r="P104" s="63"/>
      <c r="Q104" s="37">
        <f t="shared" si="20"/>
        <v>0</v>
      </c>
      <c r="R104" s="58">
        <f t="shared" si="22"/>
        <v>0</v>
      </c>
      <c r="S104" s="58">
        <f t="shared" si="23"/>
        <v>0</v>
      </c>
      <c r="T104" s="60">
        <f t="shared" si="27"/>
        <v>0</v>
      </c>
      <c r="U104" s="61">
        <f t="shared" si="25"/>
        <v>0</v>
      </c>
    </row>
    <row r="105" spans="2:21" s="28" customFormat="1" ht="34.5" hidden="1" customHeight="1">
      <c r="B105" s="29">
        <v>102</v>
      </c>
      <c r="C105" s="29">
        <f>'[1]B(근태)'!B613</f>
        <v>0</v>
      </c>
      <c r="D105" s="30">
        <v>10320</v>
      </c>
      <c r="E105" s="31">
        <f>'[1]B(근태)'!AL613</f>
        <v>0</v>
      </c>
      <c r="F105" s="32">
        <f t="shared" si="28"/>
        <v>0</v>
      </c>
      <c r="G105" s="33">
        <f>'[1]B(근태)'!AL614</f>
        <v>0</v>
      </c>
      <c r="H105" s="32">
        <f t="shared" si="12"/>
        <v>0</v>
      </c>
      <c r="I105" s="33">
        <f>'[1]B(근태)'!AL615</f>
        <v>0</v>
      </c>
      <c r="J105" s="32">
        <f t="shared" si="21"/>
        <v>0</v>
      </c>
      <c r="K105" s="33">
        <f>'[1]B(근태)'!AL616</f>
        <v>0</v>
      </c>
      <c r="L105" s="32">
        <f t="shared" si="14"/>
        <v>0</v>
      </c>
      <c r="M105" s="33">
        <f>'[1]B(근태)'!AL617</f>
        <v>0</v>
      </c>
      <c r="N105" s="32">
        <f t="shared" si="26"/>
        <v>0</v>
      </c>
      <c r="O105" s="32"/>
      <c r="P105" s="63"/>
      <c r="Q105" s="37">
        <f t="shared" si="20"/>
        <v>0</v>
      </c>
      <c r="R105" s="58">
        <f t="shared" si="22"/>
        <v>0</v>
      </c>
      <c r="S105" s="58">
        <f t="shared" si="23"/>
        <v>0</v>
      </c>
      <c r="T105" s="60">
        <f t="shared" si="27"/>
        <v>0</v>
      </c>
      <c r="U105" s="61">
        <f t="shared" si="25"/>
        <v>0</v>
      </c>
    </row>
    <row r="106" spans="2:21" s="28" customFormat="1" ht="34.5" hidden="1" customHeight="1">
      <c r="B106" s="29">
        <v>103</v>
      </c>
      <c r="C106" s="29">
        <f>'[1]B(근태)'!B619</f>
        <v>0</v>
      </c>
      <c r="D106" s="30">
        <v>10320</v>
      </c>
      <c r="E106" s="31">
        <f>'[1]B(근태)'!AL619</f>
        <v>0</v>
      </c>
      <c r="F106" s="32">
        <f t="shared" si="28"/>
        <v>0</v>
      </c>
      <c r="G106" s="33">
        <f>'[1]B(근태)'!AL620</f>
        <v>0</v>
      </c>
      <c r="H106" s="32">
        <f t="shared" si="12"/>
        <v>0</v>
      </c>
      <c r="I106" s="33">
        <f>'[1]B(근태)'!AL621</f>
        <v>0</v>
      </c>
      <c r="J106" s="32">
        <f t="shared" si="21"/>
        <v>0</v>
      </c>
      <c r="K106" s="33">
        <f>'[1]B(근태)'!AL622</f>
        <v>0</v>
      </c>
      <c r="L106" s="32">
        <f t="shared" si="14"/>
        <v>0</v>
      </c>
      <c r="M106" s="33">
        <f>'[1]B(근태)'!AL623</f>
        <v>0</v>
      </c>
      <c r="N106" s="32">
        <f t="shared" si="26"/>
        <v>0</v>
      </c>
      <c r="O106" s="32"/>
      <c r="P106" s="63"/>
      <c r="Q106" s="37">
        <f t="shared" si="20"/>
        <v>0</v>
      </c>
      <c r="R106" s="58">
        <f t="shared" si="22"/>
        <v>0</v>
      </c>
      <c r="S106" s="58">
        <f t="shared" si="23"/>
        <v>0</v>
      </c>
      <c r="T106" s="60">
        <f t="shared" si="27"/>
        <v>0</v>
      </c>
      <c r="U106" s="61">
        <f t="shared" si="25"/>
        <v>0</v>
      </c>
    </row>
    <row r="107" spans="2:21" s="28" customFormat="1" ht="34.5" hidden="1" customHeight="1">
      <c r="B107" s="29">
        <v>104</v>
      </c>
      <c r="C107" s="29">
        <f>'[1]B(근태)'!B625</f>
        <v>0</v>
      </c>
      <c r="D107" s="30">
        <v>10320</v>
      </c>
      <c r="E107" s="31">
        <f>'[1]B(근태)'!AL625</f>
        <v>0</v>
      </c>
      <c r="F107" s="32">
        <f t="shared" si="28"/>
        <v>0</v>
      </c>
      <c r="G107" s="33">
        <f>'[1]B(근태)'!AL626</f>
        <v>0</v>
      </c>
      <c r="H107" s="32">
        <f t="shared" si="12"/>
        <v>0</v>
      </c>
      <c r="I107" s="33">
        <f>'[1]B(근태)'!AL627</f>
        <v>0</v>
      </c>
      <c r="J107" s="32">
        <f t="shared" si="21"/>
        <v>0</v>
      </c>
      <c r="K107" s="33">
        <f>'[1]B(근태)'!AL628</f>
        <v>0</v>
      </c>
      <c r="L107" s="32">
        <f t="shared" si="14"/>
        <v>0</v>
      </c>
      <c r="M107" s="33">
        <f>'[1]B(근태)'!AL629</f>
        <v>0</v>
      </c>
      <c r="N107" s="32">
        <f t="shared" si="26"/>
        <v>0</v>
      </c>
      <c r="O107" s="32"/>
      <c r="P107" s="63"/>
      <c r="Q107" s="37">
        <f t="shared" si="20"/>
        <v>0</v>
      </c>
      <c r="R107" s="58">
        <f t="shared" si="22"/>
        <v>0</v>
      </c>
      <c r="S107" s="58">
        <f t="shared" si="23"/>
        <v>0</v>
      </c>
      <c r="T107" s="60">
        <f t="shared" si="27"/>
        <v>0</v>
      </c>
      <c r="U107" s="61">
        <f t="shared" si="25"/>
        <v>0</v>
      </c>
    </row>
    <row r="108" spans="2:21" s="28" customFormat="1" ht="34.5" hidden="1" customHeight="1">
      <c r="B108" s="29">
        <v>105</v>
      </c>
      <c r="C108" s="29">
        <f>'[1]B(근태)'!B631</f>
        <v>0</v>
      </c>
      <c r="D108" s="30">
        <v>10320</v>
      </c>
      <c r="E108" s="31">
        <f>'[1]B(근태)'!AL631</f>
        <v>0</v>
      </c>
      <c r="F108" s="32">
        <f t="shared" si="28"/>
        <v>0</v>
      </c>
      <c r="G108" s="33">
        <f>'[1]B(근태)'!AL632</f>
        <v>0</v>
      </c>
      <c r="H108" s="32">
        <f t="shared" si="12"/>
        <v>0</v>
      </c>
      <c r="I108" s="33">
        <f>'[1]B(근태)'!AL633</f>
        <v>0</v>
      </c>
      <c r="J108" s="32">
        <f t="shared" si="21"/>
        <v>0</v>
      </c>
      <c r="K108" s="33">
        <f>'[1]B(근태)'!AL634</f>
        <v>0</v>
      </c>
      <c r="L108" s="32">
        <f t="shared" si="14"/>
        <v>0</v>
      </c>
      <c r="M108" s="33">
        <f>'[1]B(근태)'!AL635</f>
        <v>0</v>
      </c>
      <c r="N108" s="32">
        <f t="shared" si="26"/>
        <v>0</v>
      </c>
      <c r="O108" s="32"/>
      <c r="P108" s="63"/>
      <c r="Q108" s="37">
        <f t="shared" si="20"/>
        <v>0</v>
      </c>
      <c r="R108" s="58">
        <f t="shared" si="22"/>
        <v>0</v>
      </c>
      <c r="S108" s="58">
        <f t="shared" si="23"/>
        <v>0</v>
      </c>
      <c r="T108" s="60">
        <f t="shared" si="27"/>
        <v>0</v>
      </c>
      <c r="U108" s="61">
        <f t="shared" si="25"/>
        <v>0</v>
      </c>
    </row>
    <row r="109" spans="2:21" s="28" customFormat="1" ht="34.5" hidden="1" customHeight="1">
      <c r="B109" s="29">
        <v>106</v>
      </c>
      <c r="C109" s="29">
        <f>'[1]B(근태)'!B637</f>
        <v>0</v>
      </c>
      <c r="D109" s="30">
        <v>10320</v>
      </c>
      <c r="E109" s="31">
        <f>'[1]B(근태)'!AL637</f>
        <v>0</v>
      </c>
      <c r="F109" s="32">
        <f t="shared" si="28"/>
        <v>0</v>
      </c>
      <c r="G109" s="33">
        <f>'[1]B(근태)'!AL638</f>
        <v>0</v>
      </c>
      <c r="H109" s="32">
        <f t="shared" si="12"/>
        <v>0</v>
      </c>
      <c r="I109" s="33">
        <f>'[1]B(근태)'!AL639</f>
        <v>0</v>
      </c>
      <c r="J109" s="32">
        <f t="shared" si="21"/>
        <v>0</v>
      </c>
      <c r="K109" s="33">
        <f>'[1]B(근태)'!AL640</f>
        <v>0</v>
      </c>
      <c r="L109" s="32">
        <f t="shared" si="14"/>
        <v>0</v>
      </c>
      <c r="M109" s="33">
        <f>'[1]B(근태)'!AL641</f>
        <v>0</v>
      </c>
      <c r="N109" s="32">
        <f t="shared" si="26"/>
        <v>0</v>
      </c>
      <c r="O109" s="32"/>
      <c r="P109" s="63"/>
      <c r="Q109" s="37">
        <f t="shared" si="20"/>
        <v>0</v>
      </c>
      <c r="R109" s="58">
        <f t="shared" si="22"/>
        <v>0</v>
      </c>
      <c r="S109" s="58">
        <f t="shared" si="23"/>
        <v>0</v>
      </c>
      <c r="T109" s="60">
        <f t="shared" si="27"/>
        <v>0</v>
      </c>
      <c r="U109" s="61">
        <f t="shared" si="25"/>
        <v>0</v>
      </c>
    </row>
    <row r="110" spans="2:21" s="28" customFormat="1" ht="34.5" hidden="1" customHeight="1">
      <c r="B110" s="29">
        <v>107</v>
      </c>
      <c r="C110" s="29">
        <f>'[1]B(근태)'!B643</f>
        <v>0</v>
      </c>
      <c r="D110" s="30">
        <v>10320</v>
      </c>
      <c r="E110" s="31">
        <f>'[1]B(근태)'!AL643</f>
        <v>0</v>
      </c>
      <c r="F110" s="32">
        <f t="shared" si="28"/>
        <v>0</v>
      </c>
      <c r="G110" s="33">
        <f>'[1]B(근태)'!AL644</f>
        <v>0</v>
      </c>
      <c r="H110" s="32">
        <f t="shared" si="12"/>
        <v>0</v>
      </c>
      <c r="I110" s="33"/>
      <c r="J110" s="32">
        <f t="shared" si="21"/>
        <v>0</v>
      </c>
      <c r="K110" s="33">
        <f>'[1]B(근태)'!AL646</f>
        <v>0</v>
      </c>
      <c r="L110" s="32">
        <f t="shared" si="14"/>
        <v>0</v>
      </c>
      <c r="M110" s="33">
        <f>'[1]B(근태)'!AL647</f>
        <v>0</v>
      </c>
      <c r="N110" s="32">
        <f t="shared" si="26"/>
        <v>0</v>
      </c>
      <c r="O110" s="32"/>
      <c r="P110" s="63"/>
      <c r="Q110" s="37">
        <f t="shared" si="20"/>
        <v>0</v>
      </c>
      <c r="R110" s="58">
        <f t="shared" si="22"/>
        <v>0</v>
      </c>
      <c r="S110" s="58">
        <f t="shared" si="23"/>
        <v>0</v>
      </c>
      <c r="T110" s="60">
        <f t="shared" si="27"/>
        <v>0</v>
      </c>
      <c r="U110" s="61">
        <f t="shared" si="25"/>
        <v>0</v>
      </c>
    </row>
    <row r="111" spans="2:21" s="28" customFormat="1" ht="34.5" hidden="1" customHeight="1">
      <c r="B111" s="29">
        <v>108</v>
      </c>
      <c r="C111" s="29">
        <f>'[1]B(근태)'!B649</f>
        <v>0</v>
      </c>
      <c r="D111" s="30">
        <v>10320</v>
      </c>
      <c r="E111" s="31">
        <f>'[1]B(근태)'!AL649</f>
        <v>0</v>
      </c>
      <c r="F111" s="32">
        <f t="shared" si="28"/>
        <v>0</v>
      </c>
      <c r="G111" s="33">
        <f>'[1]B(근태)'!AL650</f>
        <v>0</v>
      </c>
      <c r="H111" s="32">
        <f t="shared" si="12"/>
        <v>0</v>
      </c>
      <c r="I111" s="33"/>
      <c r="J111" s="32">
        <f t="shared" si="21"/>
        <v>0</v>
      </c>
      <c r="K111" s="33">
        <f>'[1]B(근태)'!AL652</f>
        <v>0</v>
      </c>
      <c r="L111" s="32">
        <f t="shared" si="14"/>
        <v>0</v>
      </c>
      <c r="M111" s="33">
        <f>'[1]B(근태)'!AL653</f>
        <v>0</v>
      </c>
      <c r="N111" s="32">
        <f t="shared" si="26"/>
        <v>0</v>
      </c>
      <c r="O111" s="32"/>
      <c r="P111" s="63"/>
      <c r="Q111" s="37">
        <f t="shared" si="20"/>
        <v>0</v>
      </c>
      <c r="R111" s="58">
        <f t="shared" si="22"/>
        <v>0</v>
      </c>
      <c r="S111" s="58">
        <f t="shared" si="23"/>
        <v>0</v>
      </c>
      <c r="T111" s="60">
        <f t="shared" si="27"/>
        <v>0</v>
      </c>
      <c r="U111" s="61">
        <f t="shared" si="25"/>
        <v>0</v>
      </c>
    </row>
    <row r="112" spans="2:21" s="28" customFormat="1" ht="34.5" hidden="1" customHeight="1">
      <c r="B112" s="29">
        <v>109</v>
      </c>
      <c r="C112" s="29">
        <f>'[1]B(근태)'!B655</f>
        <v>0</v>
      </c>
      <c r="D112" s="30">
        <v>10320</v>
      </c>
      <c r="E112" s="31">
        <f>'[1]B(근태)'!AL655</f>
        <v>0</v>
      </c>
      <c r="F112" s="32">
        <f t="shared" si="28"/>
        <v>0</v>
      </c>
      <c r="G112" s="33">
        <f>'[1]B(근태)'!AL656</f>
        <v>0</v>
      </c>
      <c r="H112" s="32">
        <f t="shared" si="12"/>
        <v>0</v>
      </c>
      <c r="I112" s="33"/>
      <c r="J112" s="32">
        <f t="shared" si="21"/>
        <v>0</v>
      </c>
      <c r="K112" s="33">
        <f>'[1]B(근태)'!AL658</f>
        <v>0</v>
      </c>
      <c r="L112" s="32">
        <f t="shared" si="14"/>
        <v>0</v>
      </c>
      <c r="M112" s="33">
        <f>'[1]B(근태)'!AL659</f>
        <v>0</v>
      </c>
      <c r="N112" s="32">
        <f t="shared" si="26"/>
        <v>0</v>
      </c>
      <c r="O112" s="32"/>
      <c r="P112" s="63"/>
      <c r="Q112" s="37">
        <f t="shared" si="20"/>
        <v>0</v>
      </c>
      <c r="R112" s="58">
        <f t="shared" si="22"/>
        <v>0</v>
      </c>
      <c r="S112" s="58">
        <f t="shared" si="23"/>
        <v>0</v>
      </c>
      <c r="T112" s="60">
        <f t="shared" si="27"/>
        <v>0</v>
      </c>
      <c r="U112" s="61">
        <f t="shared" si="25"/>
        <v>0</v>
      </c>
    </row>
    <row r="113" spans="2:21" s="28" customFormat="1" ht="34.5" hidden="1" customHeight="1">
      <c r="B113" s="29">
        <v>110</v>
      </c>
      <c r="C113" s="29">
        <f>'[1]B(근태)'!B661</f>
        <v>0</v>
      </c>
      <c r="D113" s="30">
        <v>10320</v>
      </c>
      <c r="E113" s="31">
        <f>'[1]B(근태)'!AL661</f>
        <v>0</v>
      </c>
      <c r="F113" s="32">
        <f t="shared" si="28"/>
        <v>0</v>
      </c>
      <c r="G113" s="33">
        <f>'[1]B(근태)'!AL662</f>
        <v>0</v>
      </c>
      <c r="H113" s="32">
        <f t="shared" si="12"/>
        <v>0</v>
      </c>
      <c r="I113" s="33"/>
      <c r="J113" s="32">
        <f t="shared" si="21"/>
        <v>0</v>
      </c>
      <c r="K113" s="33">
        <f>'[1]B(근태)'!AL664</f>
        <v>0</v>
      </c>
      <c r="L113" s="32">
        <f t="shared" si="14"/>
        <v>0</v>
      </c>
      <c r="M113" s="33">
        <f>'[1]B(근태)'!AL665</f>
        <v>0</v>
      </c>
      <c r="N113" s="32">
        <f t="shared" si="26"/>
        <v>0</v>
      </c>
      <c r="O113" s="32"/>
      <c r="P113" s="63"/>
      <c r="Q113" s="37">
        <f t="shared" si="20"/>
        <v>0</v>
      </c>
      <c r="R113" s="58">
        <f t="shared" si="22"/>
        <v>0</v>
      </c>
      <c r="S113" s="58">
        <f t="shared" si="23"/>
        <v>0</v>
      </c>
      <c r="T113" s="60">
        <f t="shared" si="27"/>
        <v>0</v>
      </c>
      <c r="U113" s="61">
        <f t="shared" si="25"/>
        <v>0</v>
      </c>
    </row>
    <row r="114" spans="2:21" s="28" customFormat="1" ht="34.5" hidden="1" customHeight="1">
      <c r="B114" s="29">
        <v>111</v>
      </c>
      <c r="C114" s="29">
        <f>'[1]B(근태)'!B667</f>
        <v>0</v>
      </c>
      <c r="D114" s="30">
        <v>10320</v>
      </c>
      <c r="E114" s="31">
        <f>'[1]B(근태)'!AL667</f>
        <v>0</v>
      </c>
      <c r="F114" s="32">
        <f t="shared" si="28"/>
        <v>0</v>
      </c>
      <c r="G114" s="33">
        <f>'[1]B(근태)'!AL668</f>
        <v>0</v>
      </c>
      <c r="H114" s="32">
        <f t="shared" si="12"/>
        <v>0</v>
      </c>
      <c r="I114" s="33"/>
      <c r="J114" s="32">
        <f t="shared" si="21"/>
        <v>0</v>
      </c>
      <c r="K114" s="33">
        <f>'[1]B(근태)'!AL670</f>
        <v>0</v>
      </c>
      <c r="L114" s="32">
        <f t="shared" si="14"/>
        <v>0</v>
      </c>
      <c r="M114" s="33">
        <f>'[1]B(근태)'!AL671</f>
        <v>0</v>
      </c>
      <c r="N114" s="32">
        <f t="shared" si="26"/>
        <v>0</v>
      </c>
      <c r="O114" s="32"/>
      <c r="P114" s="63"/>
      <c r="Q114" s="37">
        <f t="shared" si="20"/>
        <v>0</v>
      </c>
      <c r="R114" s="58">
        <f t="shared" si="22"/>
        <v>0</v>
      </c>
      <c r="S114" s="58">
        <f t="shared" si="23"/>
        <v>0</v>
      </c>
      <c r="T114" s="60">
        <f t="shared" si="27"/>
        <v>0</v>
      </c>
      <c r="U114" s="61">
        <f t="shared" si="25"/>
        <v>0</v>
      </c>
    </row>
    <row r="115" spans="2:21" s="28" customFormat="1" ht="34.5" hidden="1" customHeight="1">
      <c r="B115" s="29">
        <v>112</v>
      </c>
      <c r="C115" s="29">
        <f>'[1]B(근태)'!B673</f>
        <v>0</v>
      </c>
      <c r="D115" s="30">
        <v>10320</v>
      </c>
      <c r="E115" s="31">
        <f>'[1]B(근태)'!AL673</f>
        <v>0</v>
      </c>
      <c r="F115" s="32">
        <f t="shared" si="28"/>
        <v>0</v>
      </c>
      <c r="G115" s="33">
        <f>'[1]B(근태)'!AL674</f>
        <v>0</v>
      </c>
      <c r="H115" s="32">
        <f t="shared" si="12"/>
        <v>0</v>
      </c>
      <c r="I115" s="33"/>
      <c r="J115" s="32">
        <f t="shared" si="21"/>
        <v>0</v>
      </c>
      <c r="K115" s="33">
        <f>'[1]B(근태)'!AL676</f>
        <v>0</v>
      </c>
      <c r="L115" s="32">
        <f t="shared" si="14"/>
        <v>0</v>
      </c>
      <c r="M115" s="33">
        <f>'[1]B(근태)'!AL677</f>
        <v>0</v>
      </c>
      <c r="N115" s="32">
        <f t="shared" si="26"/>
        <v>0</v>
      </c>
      <c r="O115" s="32"/>
      <c r="P115" s="63"/>
      <c r="Q115" s="37">
        <f t="shared" si="20"/>
        <v>0</v>
      </c>
      <c r="R115" s="58">
        <f t="shared" si="22"/>
        <v>0</v>
      </c>
      <c r="S115" s="58">
        <f t="shared" si="23"/>
        <v>0</v>
      </c>
      <c r="T115" s="60">
        <f t="shared" si="27"/>
        <v>0</v>
      </c>
      <c r="U115" s="61">
        <f t="shared" si="25"/>
        <v>0</v>
      </c>
    </row>
    <row r="116" spans="2:21" s="28" customFormat="1" ht="34.5" hidden="1" customHeight="1">
      <c r="B116" s="29">
        <v>113</v>
      </c>
      <c r="C116" s="64">
        <f>'[1]B(근태)'!B679</f>
        <v>0</v>
      </c>
      <c r="D116" s="30">
        <v>10320</v>
      </c>
      <c r="E116" s="31">
        <f>'[1]B(근태)'!AL679</f>
        <v>0</v>
      </c>
      <c r="F116" s="32">
        <f t="shared" si="28"/>
        <v>0</v>
      </c>
      <c r="G116" s="33">
        <f>'[1]B(근태)'!AL680</f>
        <v>0</v>
      </c>
      <c r="H116" s="32">
        <f t="shared" si="12"/>
        <v>0</v>
      </c>
      <c r="I116" s="33"/>
      <c r="J116" s="32">
        <f t="shared" si="21"/>
        <v>0</v>
      </c>
      <c r="K116" s="33">
        <f>'[1]B(근태)'!AL682</f>
        <v>0</v>
      </c>
      <c r="L116" s="32">
        <f t="shared" si="14"/>
        <v>0</v>
      </c>
      <c r="M116" s="33">
        <f>'[1]B(근태)'!AL683</f>
        <v>0</v>
      </c>
      <c r="N116" s="32">
        <f t="shared" si="26"/>
        <v>0</v>
      </c>
      <c r="O116" s="32"/>
      <c r="P116" s="63"/>
      <c r="Q116" s="37">
        <f t="shared" si="20"/>
        <v>0</v>
      </c>
      <c r="R116" s="58">
        <f t="shared" si="22"/>
        <v>0</v>
      </c>
      <c r="S116" s="58">
        <f t="shared" si="23"/>
        <v>0</v>
      </c>
      <c r="T116" s="60">
        <f t="shared" si="27"/>
        <v>0</v>
      </c>
      <c r="U116" s="61">
        <f t="shared" si="25"/>
        <v>0</v>
      </c>
    </row>
    <row r="117" spans="2:21" s="28" customFormat="1" ht="33" hidden="1" customHeight="1">
      <c r="B117" s="29">
        <v>114</v>
      </c>
      <c r="C117" s="29">
        <f>'[1]B(근태)'!B685</f>
        <v>0</v>
      </c>
      <c r="D117" s="30">
        <v>10320</v>
      </c>
      <c r="E117" s="31">
        <f>'[1]B(근태)'!AL685</f>
        <v>0</v>
      </c>
      <c r="F117" s="32">
        <f t="shared" si="28"/>
        <v>0</v>
      </c>
      <c r="G117" s="33">
        <f>'[1]B(근태)'!AL686</f>
        <v>0</v>
      </c>
      <c r="H117" s="32">
        <f t="shared" si="12"/>
        <v>0</v>
      </c>
      <c r="I117" s="33"/>
      <c r="J117" s="32">
        <f t="shared" si="21"/>
        <v>0</v>
      </c>
      <c r="K117" s="33">
        <f>'[1]B(근태)'!AL688</f>
        <v>0</v>
      </c>
      <c r="L117" s="32">
        <f t="shared" si="14"/>
        <v>0</v>
      </c>
      <c r="M117" s="33">
        <f>'[1]B(근태)'!AL689</f>
        <v>0</v>
      </c>
      <c r="N117" s="32">
        <f t="shared" si="26"/>
        <v>0</v>
      </c>
      <c r="O117" s="32"/>
      <c r="P117" s="63"/>
      <c r="Q117" s="37">
        <f t="shared" si="20"/>
        <v>0</v>
      </c>
      <c r="R117" s="58">
        <f t="shared" si="22"/>
        <v>0</v>
      </c>
      <c r="S117" s="58">
        <f t="shared" si="23"/>
        <v>0</v>
      </c>
      <c r="T117" s="60">
        <f t="shared" si="27"/>
        <v>0</v>
      </c>
      <c r="U117" s="61">
        <f t="shared" si="25"/>
        <v>0</v>
      </c>
    </row>
    <row r="118" spans="2:21" s="28" customFormat="1" ht="34.5" hidden="1" customHeight="1">
      <c r="B118" s="29">
        <v>115</v>
      </c>
      <c r="C118" s="29">
        <f>'[1]B(근태)'!B691</f>
        <v>0</v>
      </c>
      <c r="D118" s="30">
        <v>10320</v>
      </c>
      <c r="E118" s="31">
        <f>'[1]B(근태)'!AL691</f>
        <v>0</v>
      </c>
      <c r="F118" s="32">
        <f t="shared" si="28"/>
        <v>0</v>
      </c>
      <c r="G118" s="33">
        <f>'[1]B(근태)'!AL692</f>
        <v>0</v>
      </c>
      <c r="H118" s="32">
        <f t="shared" si="12"/>
        <v>0</v>
      </c>
      <c r="I118" s="33"/>
      <c r="J118" s="32">
        <f t="shared" si="21"/>
        <v>0</v>
      </c>
      <c r="K118" s="33">
        <f>'[1]B(근태)'!AL694</f>
        <v>0</v>
      </c>
      <c r="L118" s="32">
        <f t="shared" si="14"/>
        <v>0</v>
      </c>
      <c r="M118" s="33">
        <f>'[1]B(근태)'!AL695</f>
        <v>0</v>
      </c>
      <c r="N118" s="32">
        <f t="shared" si="26"/>
        <v>0</v>
      </c>
      <c r="O118" s="32"/>
      <c r="P118" s="63"/>
      <c r="Q118" s="37">
        <f t="shared" si="20"/>
        <v>0</v>
      </c>
      <c r="R118" s="58">
        <f t="shared" si="22"/>
        <v>0</v>
      </c>
      <c r="S118" s="58">
        <f t="shared" si="23"/>
        <v>0</v>
      </c>
      <c r="T118" s="60">
        <f t="shared" si="27"/>
        <v>0</v>
      </c>
      <c r="U118" s="61">
        <f t="shared" si="25"/>
        <v>0</v>
      </c>
    </row>
    <row r="119" spans="2:21" s="28" customFormat="1" ht="34.5" hidden="1" customHeight="1">
      <c r="B119" s="29">
        <v>116</v>
      </c>
      <c r="C119" s="29">
        <f>'[1]B(근태)'!B697</f>
        <v>0</v>
      </c>
      <c r="D119" s="30">
        <v>10320</v>
      </c>
      <c r="E119" s="31">
        <f>'[1]B(근태)'!AL697</f>
        <v>0</v>
      </c>
      <c r="F119" s="32">
        <f t="shared" si="28"/>
        <v>0</v>
      </c>
      <c r="G119" s="33">
        <f>'[1]B(근태)'!AL698</f>
        <v>0</v>
      </c>
      <c r="H119" s="32">
        <f>D119*1.5*G119</f>
        <v>0</v>
      </c>
      <c r="I119" s="33"/>
      <c r="J119" s="32">
        <f t="shared" si="21"/>
        <v>0</v>
      </c>
      <c r="K119" s="33">
        <f>'[1]B(근태)'!AL700</f>
        <v>0</v>
      </c>
      <c r="L119" s="32">
        <f t="shared" si="14"/>
        <v>0</v>
      </c>
      <c r="M119" s="33">
        <f>'[1]B(근태)'!AL701</f>
        <v>0</v>
      </c>
      <c r="N119" s="32">
        <f t="shared" si="26"/>
        <v>0</v>
      </c>
      <c r="O119" s="32"/>
      <c r="P119" s="63"/>
      <c r="Q119" s="37">
        <f t="shared" si="20"/>
        <v>0</v>
      </c>
      <c r="R119" s="58">
        <f t="shared" si="22"/>
        <v>0</v>
      </c>
      <c r="S119" s="58">
        <f t="shared" si="23"/>
        <v>0</v>
      </c>
      <c r="T119" s="60">
        <f t="shared" si="27"/>
        <v>0</v>
      </c>
      <c r="U119" s="61">
        <f t="shared" si="25"/>
        <v>0</v>
      </c>
    </row>
    <row r="120" spans="2:21" s="28" customFormat="1" ht="34.5" hidden="1" customHeight="1">
      <c r="B120" s="29">
        <v>117</v>
      </c>
      <c r="C120" s="29">
        <f>'[1]B(근태)'!B703</f>
        <v>0</v>
      </c>
      <c r="D120" s="30">
        <v>10320</v>
      </c>
      <c r="E120" s="31">
        <f>'[1]B(근태)'!AL703</f>
        <v>0</v>
      </c>
      <c r="F120" s="32">
        <f t="shared" si="28"/>
        <v>0</v>
      </c>
      <c r="G120" s="33">
        <f>'[1]B(근태)'!AL704</f>
        <v>0</v>
      </c>
      <c r="H120" s="32">
        <f t="shared" si="12"/>
        <v>0</v>
      </c>
      <c r="I120" s="33"/>
      <c r="J120" s="32">
        <f t="shared" si="21"/>
        <v>0</v>
      </c>
      <c r="K120" s="33">
        <f>'[1]B(근태)'!AL706</f>
        <v>0</v>
      </c>
      <c r="L120" s="32">
        <f t="shared" si="14"/>
        <v>0</v>
      </c>
      <c r="M120" s="33">
        <f>'[1]B(근태)'!AL707</f>
        <v>0</v>
      </c>
      <c r="N120" s="32">
        <f t="shared" si="26"/>
        <v>0</v>
      </c>
      <c r="O120" s="32"/>
      <c r="P120" s="63"/>
      <c r="Q120" s="37">
        <f t="shared" si="20"/>
        <v>0</v>
      </c>
      <c r="R120" s="58">
        <f t="shared" si="22"/>
        <v>0</v>
      </c>
      <c r="S120" s="58">
        <f t="shared" si="23"/>
        <v>0</v>
      </c>
      <c r="T120" s="60">
        <f t="shared" si="27"/>
        <v>0</v>
      </c>
      <c r="U120" s="61">
        <f t="shared" si="25"/>
        <v>0</v>
      </c>
    </row>
    <row r="121" spans="2:21" s="28" customFormat="1" ht="34.5" hidden="1" customHeight="1">
      <c r="B121" s="29">
        <v>118</v>
      </c>
      <c r="C121" s="29">
        <f>'[1]B(근태)'!B709</f>
        <v>0</v>
      </c>
      <c r="D121" s="30">
        <v>10320</v>
      </c>
      <c r="E121" s="31">
        <f>'[1]B(근태)'!AL709</f>
        <v>0</v>
      </c>
      <c r="F121" s="32">
        <f t="shared" si="28"/>
        <v>0</v>
      </c>
      <c r="G121" s="33">
        <f>'[1]B(근태)'!AL710</f>
        <v>0</v>
      </c>
      <c r="H121" s="32">
        <f t="shared" si="12"/>
        <v>0</v>
      </c>
      <c r="I121" s="33"/>
      <c r="J121" s="32">
        <f t="shared" si="21"/>
        <v>0</v>
      </c>
      <c r="K121" s="33">
        <f>'[1]B(근태)'!AL712</f>
        <v>0</v>
      </c>
      <c r="L121" s="32">
        <f t="shared" si="14"/>
        <v>0</v>
      </c>
      <c r="M121" s="33">
        <f>'[1]B(근태)'!AL713</f>
        <v>0</v>
      </c>
      <c r="N121" s="32">
        <f t="shared" si="26"/>
        <v>0</v>
      </c>
      <c r="O121" s="32"/>
      <c r="P121" s="63"/>
      <c r="Q121" s="37">
        <f t="shared" si="20"/>
        <v>0</v>
      </c>
      <c r="R121" s="58">
        <f t="shared" si="22"/>
        <v>0</v>
      </c>
      <c r="S121" s="58">
        <f t="shared" si="23"/>
        <v>0</v>
      </c>
      <c r="T121" s="60">
        <f t="shared" si="27"/>
        <v>0</v>
      </c>
      <c r="U121" s="61">
        <f t="shared" si="25"/>
        <v>0</v>
      </c>
    </row>
    <row r="122" spans="2:21" s="28" customFormat="1" ht="34.5" hidden="1" customHeight="1">
      <c r="B122" s="29">
        <v>119</v>
      </c>
      <c r="C122" s="29">
        <f>'[1]B(근태)'!B715</f>
        <v>0</v>
      </c>
      <c r="D122" s="30">
        <v>10320</v>
      </c>
      <c r="E122" s="31">
        <f>'[1]B(근태)'!AL715</f>
        <v>0</v>
      </c>
      <c r="F122" s="32">
        <f t="shared" si="28"/>
        <v>0</v>
      </c>
      <c r="G122" s="33">
        <f>'[1]B(근태)'!AL716</f>
        <v>0</v>
      </c>
      <c r="H122" s="32">
        <f t="shared" si="12"/>
        <v>0</v>
      </c>
      <c r="I122" s="33"/>
      <c r="J122" s="32">
        <f t="shared" si="21"/>
        <v>0</v>
      </c>
      <c r="K122" s="33">
        <f>'[1]B(근태)'!AL718</f>
        <v>0</v>
      </c>
      <c r="L122" s="32">
        <f t="shared" si="14"/>
        <v>0</v>
      </c>
      <c r="M122" s="33">
        <f>'[1]B(근태)'!AL719</f>
        <v>0</v>
      </c>
      <c r="N122" s="32">
        <f t="shared" si="26"/>
        <v>0</v>
      </c>
      <c r="O122" s="32"/>
      <c r="P122" s="63"/>
      <c r="Q122" s="37">
        <f t="shared" si="20"/>
        <v>0</v>
      </c>
      <c r="R122" s="58">
        <f t="shared" si="22"/>
        <v>0</v>
      </c>
      <c r="S122" s="58">
        <f t="shared" si="23"/>
        <v>0</v>
      </c>
      <c r="T122" s="60">
        <f t="shared" si="27"/>
        <v>0</v>
      </c>
      <c r="U122" s="61">
        <f t="shared" si="25"/>
        <v>0</v>
      </c>
    </row>
    <row r="123" spans="2:21" s="28" customFormat="1" ht="34.5" hidden="1" customHeight="1">
      <c r="B123" s="29">
        <v>120</v>
      </c>
      <c r="C123" s="29">
        <f>'[1]B(근태)'!B721</f>
        <v>0</v>
      </c>
      <c r="D123" s="30">
        <v>10320</v>
      </c>
      <c r="E123" s="31">
        <f>'[1]B(근태)'!AL721</f>
        <v>0</v>
      </c>
      <c r="F123" s="32">
        <f t="shared" si="28"/>
        <v>0</v>
      </c>
      <c r="G123" s="33">
        <f>'[1]B(근태)'!AL722</f>
        <v>0</v>
      </c>
      <c r="H123" s="32">
        <f t="shared" si="12"/>
        <v>0</v>
      </c>
      <c r="I123" s="33"/>
      <c r="J123" s="32">
        <f t="shared" si="21"/>
        <v>0</v>
      </c>
      <c r="K123" s="33">
        <f>'[1]B(근태)'!AL724</f>
        <v>0</v>
      </c>
      <c r="L123" s="32">
        <f t="shared" si="14"/>
        <v>0</v>
      </c>
      <c r="M123" s="33">
        <f>'[1]B(근태)'!AL725</f>
        <v>0</v>
      </c>
      <c r="N123" s="32">
        <f t="shared" si="26"/>
        <v>0</v>
      </c>
      <c r="O123" s="32"/>
      <c r="P123" s="63"/>
      <c r="Q123" s="37">
        <f t="shared" si="20"/>
        <v>0</v>
      </c>
      <c r="R123" s="58">
        <f t="shared" si="22"/>
        <v>0</v>
      </c>
      <c r="S123" s="58">
        <f t="shared" si="23"/>
        <v>0</v>
      </c>
      <c r="T123" s="60">
        <f t="shared" si="27"/>
        <v>0</v>
      </c>
      <c r="U123" s="61">
        <f t="shared" si="25"/>
        <v>0</v>
      </c>
    </row>
    <row r="124" spans="2:21" s="28" customFormat="1" ht="34.5" hidden="1" customHeight="1">
      <c r="B124" s="29">
        <v>121</v>
      </c>
      <c r="C124" s="29">
        <f>'[1]B(근태)'!B727</f>
        <v>0</v>
      </c>
      <c r="D124" s="30">
        <v>10320</v>
      </c>
      <c r="E124" s="31">
        <f>'[1]B(근태)'!AL727</f>
        <v>0</v>
      </c>
      <c r="F124" s="32">
        <f t="shared" si="28"/>
        <v>0</v>
      </c>
      <c r="G124" s="33">
        <f>'[1]B(근태)'!AL728</f>
        <v>0</v>
      </c>
      <c r="H124" s="32">
        <f t="shared" si="12"/>
        <v>0</v>
      </c>
      <c r="I124" s="33"/>
      <c r="J124" s="32">
        <f t="shared" si="21"/>
        <v>0</v>
      </c>
      <c r="K124" s="33">
        <f>'[1]B(근태)'!AL730</f>
        <v>0</v>
      </c>
      <c r="L124" s="32">
        <f t="shared" si="14"/>
        <v>0</v>
      </c>
      <c r="M124" s="33">
        <f>'[1]B(근태)'!AL731</f>
        <v>0</v>
      </c>
      <c r="N124" s="32">
        <f t="shared" si="26"/>
        <v>0</v>
      </c>
      <c r="O124" s="32"/>
      <c r="P124" s="63"/>
      <c r="Q124" s="37">
        <f t="shared" si="20"/>
        <v>0</v>
      </c>
      <c r="R124" s="58">
        <f t="shared" si="22"/>
        <v>0</v>
      </c>
      <c r="S124" s="58">
        <f t="shared" si="23"/>
        <v>0</v>
      </c>
      <c r="T124" s="60">
        <f t="shared" si="27"/>
        <v>0</v>
      </c>
      <c r="U124" s="61">
        <f t="shared" si="25"/>
        <v>0</v>
      </c>
    </row>
    <row r="125" spans="2:21" s="28" customFormat="1" ht="34.5" hidden="1" customHeight="1">
      <c r="B125" s="29">
        <v>122</v>
      </c>
      <c r="C125" s="29">
        <f>'[1]B(근태)'!B733</f>
        <v>0</v>
      </c>
      <c r="D125" s="30">
        <v>10320</v>
      </c>
      <c r="E125" s="31">
        <f>'[1]B(근태)'!AL733</f>
        <v>0</v>
      </c>
      <c r="F125" s="32">
        <f t="shared" si="28"/>
        <v>0</v>
      </c>
      <c r="G125" s="33">
        <f>'[1]B(근태)'!AL734</f>
        <v>0</v>
      </c>
      <c r="H125" s="32">
        <f t="shared" si="12"/>
        <v>0</v>
      </c>
      <c r="I125" s="33"/>
      <c r="J125" s="32">
        <f t="shared" si="21"/>
        <v>0</v>
      </c>
      <c r="K125" s="33">
        <f>'[1]B(근태)'!AL736</f>
        <v>0</v>
      </c>
      <c r="L125" s="32">
        <f t="shared" si="14"/>
        <v>0</v>
      </c>
      <c r="M125" s="33">
        <f>'[1]B(근태)'!AL737</f>
        <v>0</v>
      </c>
      <c r="N125" s="32">
        <f t="shared" si="26"/>
        <v>0</v>
      </c>
      <c r="O125" s="32"/>
      <c r="P125" s="63"/>
      <c r="Q125" s="37">
        <f t="shared" si="20"/>
        <v>0</v>
      </c>
      <c r="R125" s="58">
        <f t="shared" si="22"/>
        <v>0</v>
      </c>
      <c r="S125" s="58">
        <f t="shared" si="23"/>
        <v>0</v>
      </c>
      <c r="T125" s="60">
        <f t="shared" si="27"/>
        <v>0</v>
      </c>
      <c r="U125" s="61">
        <f t="shared" si="25"/>
        <v>0</v>
      </c>
    </row>
    <row r="126" spans="2:21" s="28" customFormat="1" ht="33" hidden="1" customHeight="1">
      <c r="B126" s="29">
        <v>123</v>
      </c>
      <c r="C126" s="29">
        <f>'[1]B(근태)'!B739</f>
        <v>0</v>
      </c>
      <c r="D126" s="30">
        <v>10320</v>
      </c>
      <c r="E126" s="31">
        <f>'[1]B(근태)'!AL739</f>
        <v>0</v>
      </c>
      <c r="F126" s="32">
        <f t="shared" si="28"/>
        <v>0</v>
      </c>
      <c r="G126" s="33">
        <f>'[1]B(근태)'!AL740</f>
        <v>0</v>
      </c>
      <c r="H126" s="32">
        <f t="shared" si="12"/>
        <v>0</v>
      </c>
      <c r="I126" s="33"/>
      <c r="J126" s="32">
        <f t="shared" si="21"/>
        <v>0</v>
      </c>
      <c r="K126" s="33">
        <f>'[1]B(근태)'!AL742</f>
        <v>0</v>
      </c>
      <c r="L126" s="32">
        <f t="shared" si="14"/>
        <v>0</v>
      </c>
      <c r="M126" s="33">
        <f>'[1]B(근태)'!AL743</f>
        <v>0</v>
      </c>
      <c r="N126" s="32">
        <f t="shared" si="26"/>
        <v>0</v>
      </c>
      <c r="O126" s="32"/>
      <c r="P126" s="63"/>
      <c r="Q126" s="37">
        <f t="shared" si="20"/>
        <v>0</v>
      </c>
      <c r="R126" s="58">
        <f t="shared" si="22"/>
        <v>0</v>
      </c>
      <c r="S126" s="58">
        <f t="shared" si="23"/>
        <v>0</v>
      </c>
      <c r="T126" s="60">
        <f t="shared" si="27"/>
        <v>0</v>
      </c>
      <c r="U126" s="61">
        <f t="shared" si="25"/>
        <v>0</v>
      </c>
    </row>
    <row r="127" spans="2:21" s="28" customFormat="1" ht="33" hidden="1" customHeight="1">
      <c r="B127" s="29">
        <v>124</v>
      </c>
      <c r="C127" s="29">
        <f>'[1]B(근태)'!B745</f>
        <v>0</v>
      </c>
      <c r="D127" s="30">
        <v>10320</v>
      </c>
      <c r="E127" s="31">
        <f>'[1]B(근태)'!AL745</f>
        <v>0</v>
      </c>
      <c r="F127" s="32">
        <f t="shared" si="28"/>
        <v>0</v>
      </c>
      <c r="G127" s="33">
        <f>'[1]B(근태)'!AL746</f>
        <v>0</v>
      </c>
      <c r="H127" s="32">
        <f t="shared" si="12"/>
        <v>0</v>
      </c>
      <c r="I127" s="33"/>
      <c r="J127" s="32">
        <f t="shared" si="21"/>
        <v>0</v>
      </c>
      <c r="K127" s="33">
        <f>'[1]B(근태)'!AL748</f>
        <v>0</v>
      </c>
      <c r="L127" s="32">
        <f t="shared" si="14"/>
        <v>0</v>
      </c>
      <c r="M127" s="33">
        <f>'[1]B(근태)'!AL749</f>
        <v>0</v>
      </c>
      <c r="N127" s="32">
        <f t="shared" si="26"/>
        <v>0</v>
      </c>
      <c r="O127" s="32"/>
      <c r="P127" s="63"/>
      <c r="Q127" s="37">
        <f t="shared" si="20"/>
        <v>0</v>
      </c>
      <c r="R127" s="58">
        <f t="shared" si="22"/>
        <v>0</v>
      </c>
      <c r="S127" s="58">
        <f t="shared" si="23"/>
        <v>0</v>
      </c>
      <c r="T127" s="60">
        <f t="shared" si="27"/>
        <v>0</v>
      </c>
      <c r="U127" s="61">
        <f t="shared" si="25"/>
        <v>0</v>
      </c>
    </row>
    <row r="128" spans="2:21" s="28" customFormat="1" ht="33" hidden="1" customHeight="1">
      <c r="B128" s="29">
        <v>125</v>
      </c>
      <c r="C128" s="29">
        <f>'[1]B(근태)'!B751</f>
        <v>0</v>
      </c>
      <c r="D128" s="30">
        <v>10320</v>
      </c>
      <c r="E128" s="31">
        <f>'[1]B(근태)'!AL751</f>
        <v>0</v>
      </c>
      <c r="F128" s="32">
        <f t="shared" si="28"/>
        <v>0</v>
      </c>
      <c r="G128" s="33">
        <f>'[1]B(근태)'!AL752</f>
        <v>0</v>
      </c>
      <c r="H128" s="32">
        <f t="shared" si="12"/>
        <v>0</v>
      </c>
      <c r="I128" s="33"/>
      <c r="J128" s="32">
        <f t="shared" si="21"/>
        <v>0</v>
      </c>
      <c r="K128" s="33">
        <f>'[1]B(근태)'!AL754</f>
        <v>0</v>
      </c>
      <c r="L128" s="32">
        <f t="shared" si="14"/>
        <v>0</v>
      </c>
      <c r="M128" s="33">
        <f>'[1]B(근태)'!AL755</f>
        <v>0</v>
      </c>
      <c r="N128" s="32">
        <f t="shared" si="26"/>
        <v>0</v>
      </c>
      <c r="O128" s="32"/>
      <c r="P128" s="63"/>
      <c r="Q128" s="37">
        <f t="shared" si="20"/>
        <v>0</v>
      </c>
      <c r="R128" s="58">
        <f t="shared" si="22"/>
        <v>0</v>
      </c>
      <c r="S128" s="58">
        <f t="shared" si="23"/>
        <v>0</v>
      </c>
      <c r="T128" s="60">
        <f t="shared" si="27"/>
        <v>0</v>
      </c>
      <c r="U128" s="61">
        <f t="shared" si="25"/>
        <v>0</v>
      </c>
    </row>
    <row r="129" spans="2:21" s="28" customFormat="1" ht="33" hidden="1" customHeight="1">
      <c r="B129" s="29">
        <v>126</v>
      </c>
      <c r="C129" s="29">
        <f>'[1]B(근태)'!B757</f>
        <v>0</v>
      </c>
      <c r="D129" s="30">
        <v>10320</v>
      </c>
      <c r="E129" s="31">
        <f>'[1]B(근태)'!AL757</f>
        <v>0</v>
      </c>
      <c r="F129" s="32">
        <f t="shared" si="28"/>
        <v>0</v>
      </c>
      <c r="G129" s="33">
        <f>'[1]B(근태)'!AL758</f>
        <v>0</v>
      </c>
      <c r="H129" s="32">
        <f t="shared" si="12"/>
        <v>0</v>
      </c>
      <c r="I129" s="33"/>
      <c r="J129" s="32">
        <f t="shared" si="21"/>
        <v>0</v>
      </c>
      <c r="K129" s="33">
        <f>'[1]B(근태)'!AL760</f>
        <v>0</v>
      </c>
      <c r="L129" s="32">
        <f t="shared" si="14"/>
        <v>0</v>
      </c>
      <c r="M129" s="33">
        <f>'[1]B(근태)'!AL761</f>
        <v>0</v>
      </c>
      <c r="N129" s="32">
        <f t="shared" si="26"/>
        <v>0</v>
      </c>
      <c r="O129" s="32"/>
      <c r="P129" s="63"/>
      <c r="Q129" s="37">
        <f t="shared" si="20"/>
        <v>0</v>
      </c>
      <c r="R129" s="58">
        <f t="shared" si="22"/>
        <v>0</v>
      </c>
      <c r="S129" s="58">
        <f t="shared" si="23"/>
        <v>0</v>
      </c>
      <c r="T129" s="60">
        <f t="shared" si="27"/>
        <v>0</v>
      </c>
      <c r="U129" s="61">
        <f t="shared" si="25"/>
        <v>0</v>
      </c>
    </row>
    <row r="130" spans="2:21" s="28" customFormat="1" ht="33" hidden="1" customHeight="1">
      <c r="B130" s="29">
        <v>127</v>
      </c>
      <c r="C130" s="29">
        <f>'[1]B(근태)'!B763</f>
        <v>0</v>
      </c>
      <c r="D130" s="30">
        <v>10320</v>
      </c>
      <c r="E130" s="31">
        <f>'[1]B(근태)'!AL763</f>
        <v>0</v>
      </c>
      <c r="F130" s="32">
        <f t="shared" si="28"/>
        <v>0</v>
      </c>
      <c r="G130" s="33">
        <f>'[1]B(근태)'!AL764</f>
        <v>0</v>
      </c>
      <c r="H130" s="32">
        <f t="shared" si="12"/>
        <v>0</v>
      </c>
      <c r="I130" s="33"/>
      <c r="J130" s="32">
        <f t="shared" si="21"/>
        <v>0</v>
      </c>
      <c r="K130" s="33">
        <f>'[1]B(근태)'!AL766</f>
        <v>0</v>
      </c>
      <c r="L130" s="32">
        <f t="shared" si="14"/>
        <v>0</v>
      </c>
      <c r="M130" s="33">
        <f>'[1]B(근태)'!AL767</f>
        <v>0</v>
      </c>
      <c r="N130" s="32">
        <f t="shared" si="26"/>
        <v>0</v>
      </c>
      <c r="O130" s="32"/>
      <c r="P130" s="63"/>
      <c r="Q130" s="37">
        <f t="shared" si="20"/>
        <v>0</v>
      </c>
      <c r="R130" s="58">
        <f t="shared" si="22"/>
        <v>0</v>
      </c>
      <c r="S130" s="58">
        <f t="shared" si="23"/>
        <v>0</v>
      </c>
      <c r="T130" s="60">
        <f t="shared" si="27"/>
        <v>0</v>
      </c>
      <c r="U130" s="61">
        <f t="shared" si="25"/>
        <v>0</v>
      </c>
    </row>
    <row r="131" spans="2:21" s="28" customFormat="1" ht="33" hidden="1" customHeight="1">
      <c r="B131" s="29">
        <v>128</v>
      </c>
      <c r="C131" s="29">
        <f>'[1]B(근태)'!B769</f>
        <v>0</v>
      </c>
      <c r="D131" s="30">
        <v>10320</v>
      </c>
      <c r="E131" s="31">
        <f>'[1]B(근태)'!AL769</f>
        <v>0</v>
      </c>
      <c r="F131" s="32">
        <f t="shared" si="28"/>
        <v>0</v>
      </c>
      <c r="G131" s="33">
        <f>'[1]B(근태)'!AL770</f>
        <v>0</v>
      </c>
      <c r="H131" s="32">
        <f t="shared" si="12"/>
        <v>0</v>
      </c>
      <c r="I131" s="33"/>
      <c r="J131" s="32">
        <f t="shared" si="21"/>
        <v>0</v>
      </c>
      <c r="K131" s="33">
        <f>'[1]B(근태)'!AL772</f>
        <v>0</v>
      </c>
      <c r="L131" s="32">
        <f t="shared" si="14"/>
        <v>0</v>
      </c>
      <c r="M131" s="33">
        <f>'[1]B(근태)'!AL773</f>
        <v>0</v>
      </c>
      <c r="N131" s="32">
        <f t="shared" si="26"/>
        <v>0</v>
      </c>
      <c r="O131" s="32"/>
      <c r="P131" s="63"/>
      <c r="Q131" s="37">
        <f t="shared" si="20"/>
        <v>0</v>
      </c>
      <c r="R131" s="58">
        <f t="shared" si="22"/>
        <v>0</v>
      </c>
      <c r="S131" s="58">
        <f t="shared" si="23"/>
        <v>0</v>
      </c>
      <c r="T131" s="60">
        <f t="shared" si="27"/>
        <v>0</v>
      </c>
      <c r="U131" s="61">
        <f t="shared" si="25"/>
        <v>0</v>
      </c>
    </row>
    <row r="132" spans="2:21" s="28" customFormat="1" ht="33" hidden="1" customHeight="1">
      <c r="B132" s="29">
        <v>129</v>
      </c>
      <c r="C132" s="29">
        <f>'[1]B(근태)'!B775</f>
        <v>0</v>
      </c>
      <c r="D132" s="30">
        <v>10320</v>
      </c>
      <c r="E132" s="31">
        <f>'[1]B(근태)'!AL775</f>
        <v>0</v>
      </c>
      <c r="F132" s="32">
        <f t="shared" si="28"/>
        <v>0</v>
      </c>
      <c r="G132" s="33">
        <f>'[1]B(근태)'!AL776</f>
        <v>0</v>
      </c>
      <c r="H132" s="32">
        <f t="shared" si="12"/>
        <v>0</v>
      </c>
      <c r="I132" s="33"/>
      <c r="J132" s="32">
        <f t="shared" si="21"/>
        <v>0</v>
      </c>
      <c r="K132" s="33">
        <f>'[1]B(근태)'!AL778</f>
        <v>0</v>
      </c>
      <c r="L132" s="32">
        <f t="shared" si="14"/>
        <v>0</v>
      </c>
      <c r="M132" s="33">
        <f>'[1]B(근태)'!AL779</f>
        <v>0</v>
      </c>
      <c r="N132" s="32">
        <f t="shared" si="26"/>
        <v>0</v>
      </c>
      <c r="O132" s="32"/>
      <c r="P132" s="63"/>
      <c r="Q132" s="37">
        <f t="shared" si="20"/>
        <v>0</v>
      </c>
      <c r="R132" s="58">
        <f t="shared" si="22"/>
        <v>0</v>
      </c>
      <c r="S132" s="58">
        <f t="shared" si="23"/>
        <v>0</v>
      </c>
      <c r="T132" s="60">
        <f t="shared" si="27"/>
        <v>0</v>
      </c>
      <c r="U132" s="61">
        <f t="shared" si="25"/>
        <v>0</v>
      </c>
    </row>
    <row r="133" spans="2:21" s="28" customFormat="1" ht="33" hidden="1" customHeight="1">
      <c r="B133" s="29">
        <v>130</v>
      </c>
      <c r="C133" s="29">
        <f>'[1]B(근태)'!B781</f>
        <v>0</v>
      </c>
      <c r="D133" s="30">
        <f>'[1]B(근태)'!C781</f>
        <v>0</v>
      </c>
      <c r="E133" s="31">
        <f>'[1]B(근태)'!AL781</f>
        <v>0</v>
      </c>
      <c r="F133" s="32">
        <f t="shared" si="28"/>
        <v>0</v>
      </c>
      <c r="G133" s="33">
        <f>'[1]B(근태)'!AL782</f>
        <v>0</v>
      </c>
      <c r="H133" s="32">
        <f t="shared" si="12"/>
        <v>0</v>
      </c>
      <c r="I133" s="33">
        <f>'[1]B(근태)'!AL783</f>
        <v>0</v>
      </c>
      <c r="J133" s="32">
        <f t="shared" si="21"/>
        <v>0</v>
      </c>
      <c r="K133" s="33">
        <f>'[1]B(근태)'!AL784</f>
        <v>0</v>
      </c>
      <c r="L133" s="32">
        <f t="shared" si="14"/>
        <v>0</v>
      </c>
      <c r="M133" s="33">
        <f>'[1]B(근태)'!AL785</f>
        <v>0</v>
      </c>
      <c r="N133" s="32">
        <f t="shared" si="26"/>
        <v>0</v>
      </c>
      <c r="O133" s="32"/>
      <c r="P133" s="63"/>
      <c r="Q133" s="37">
        <f t="shared" si="20"/>
        <v>0</v>
      </c>
      <c r="R133" s="58">
        <f t="shared" si="22"/>
        <v>0</v>
      </c>
      <c r="S133" s="58">
        <f t="shared" si="23"/>
        <v>0</v>
      </c>
      <c r="T133" s="60">
        <f t="shared" si="27"/>
        <v>0</v>
      </c>
      <c r="U133" s="61">
        <f t="shared" si="25"/>
        <v>0</v>
      </c>
    </row>
    <row r="134" spans="2:21" s="28" customFormat="1" ht="33" hidden="1" customHeight="1">
      <c r="B134" s="29">
        <v>131</v>
      </c>
      <c r="C134" s="29">
        <f>'[1]B(근태)'!B787</f>
        <v>0</v>
      </c>
      <c r="D134" s="30">
        <f>'[1]B(근태)'!C787</f>
        <v>0</v>
      </c>
      <c r="E134" s="31">
        <f>'[1]B(근태)'!AL787</f>
        <v>0</v>
      </c>
      <c r="F134" s="32">
        <f t="shared" si="28"/>
        <v>0</v>
      </c>
      <c r="G134" s="33">
        <f>'[1]B(근태)'!AL788</f>
        <v>0</v>
      </c>
      <c r="H134" s="32">
        <f t="shared" ref="H134:H174" si="29">D134*1.5*G134</f>
        <v>0</v>
      </c>
      <c r="I134" s="33"/>
      <c r="J134" s="32">
        <f t="shared" si="21"/>
        <v>0</v>
      </c>
      <c r="K134" s="33">
        <f>'[1]B(근태)'!AL790</f>
        <v>0</v>
      </c>
      <c r="L134" s="32">
        <f t="shared" ref="L134:L174" si="30">K134*D134*1.5</f>
        <v>0</v>
      </c>
      <c r="M134" s="33">
        <f>'[1]B(근태)'!AL791</f>
        <v>0</v>
      </c>
      <c r="N134" s="32">
        <f t="shared" si="26"/>
        <v>0</v>
      </c>
      <c r="O134" s="32"/>
      <c r="P134" s="63"/>
      <c r="Q134" s="37">
        <f t="shared" si="20"/>
        <v>0</v>
      </c>
      <c r="R134" s="58">
        <f t="shared" si="22"/>
        <v>0</v>
      </c>
      <c r="S134" s="58">
        <f t="shared" si="23"/>
        <v>0</v>
      </c>
      <c r="T134" s="60">
        <f t="shared" si="27"/>
        <v>0</v>
      </c>
      <c r="U134" s="61">
        <f t="shared" si="25"/>
        <v>0</v>
      </c>
    </row>
    <row r="135" spans="2:21" s="28" customFormat="1" ht="33" hidden="1" customHeight="1">
      <c r="B135" s="29">
        <v>132</v>
      </c>
      <c r="C135" s="29">
        <f>'[1]B(근태)'!B793</f>
        <v>0</v>
      </c>
      <c r="D135" s="30">
        <f>'[1]B(근태)'!C793</f>
        <v>0</v>
      </c>
      <c r="E135" s="31">
        <f>'[1]B(근태)'!AL793</f>
        <v>0</v>
      </c>
      <c r="F135" s="32">
        <f t="shared" si="28"/>
        <v>0</v>
      </c>
      <c r="G135" s="33">
        <f>'[1]B(근태)'!AL794</f>
        <v>0</v>
      </c>
      <c r="H135" s="32">
        <f t="shared" si="29"/>
        <v>0</v>
      </c>
      <c r="I135" s="33"/>
      <c r="J135" s="32">
        <f t="shared" si="21"/>
        <v>0</v>
      </c>
      <c r="K135" s="33">
        <f>'[1]B(근태)'!AL796</f>
        <v>0</v>
      </c>
      <c r="L135" s="32">
        <f t="shared" si="30"/>
        <v>0</v>
      </c>
      <c r="M135" s="33">
        <f>'[1]B(근태)'!AL797</f>
        <v>0</v>
      </c>
      <c r="N135" s="32">
        <f t="shared" si="26"/>
        <v>0</v>
      </c>
      <c r="O135" s="32"/>
      <c r="P135" s="63"/>
      <c r="Q135" s="37">
        <f t="shared" si="20"/>
        <v>0</v>
      </c>
      <c r="R135" s="58">
        <f t="shared" si="22"/>
        <v>0</v>
      </c>
      <c r="S135" s="58">
        <f t="shared" si="23"/>
        <v>0</v>
      </c>
      <c r="T135" s="60">
        <f t="shared" si="27"/>
        <v>0</v>
      </c>
      <c r="U135" s="61">
        <f t="shared" si="25"/>
        <v>0</v>
      </c>
    </row>
    <row r="136" spans="2:21" s="28" customFormat="1" ht="33.75" hidden="1" customHeight="1">
      <c r="B136" s="29">
        <v>133</v>
      </c>
      <c r="C136" s="29">
        <f>'[1]B(근태)'!B799</f>
        <v>0</v>
      </c>
      <c r="D136" s="30">
        <f>'[1]B(근태)'!C799</f>
        <v>0</v>
      </c>
      <c r="E136" s="31">
        <f>'[1]B(근태)'!AL799</f>
        <v>0</v>
      </c>
      <c r="F136" s="32">
        <f t="shared" si="28"/>
        <v>0</v>
      </c>
      <c r="G136" s="33">
        <f>'[1]B(근태)'!AL800</f>
        <v>0</v>
      </c>
      <c r="H136" s="32">
        <f t="shared" si="29"/>
        <v>0</v>
      </c>
      <c r="I136" s="33"/>
      <c r="J136" s="32">
        <f t="shared" si="21"/>
        <v>0</v>
      </c>
      <c r="K136" s="33">
        <f>'[1]B(근태)'!AL802</f>
        <v>0</v>
      </c>
      <c r="L136" s="32">
        <f t="shared" si="30"/>
        <v>0</v>
      </c>
      <c r="M136" s="33">
        <f>'[1]B(근태)'!AL803</f>
        <v>0</v>
      </c>
      <c r="N136" s="32">
        <f t="shared" si="26"/>
        <v>0</v>
      </c>
      <c r="O136" s="32"/>
      <c r="P136" s="63"/>
      <c r="Q136" s="37">
        <f t="shared" si="20"/>
        <v>0</v>
      </c>
      <c r="R136" s="58">
        <f t="shared" si="22"/>
        <v>0</v>
      </c>
      <c r="S136" s="58">
        <f t="shared" si="23"/>
        <v>0</v>
      </c>
      <c r="T136" s="60">
        <f t="shared" si="27"/>
        <v>0</v>
      </c>
      <c r="U136" s="61">
        <f t="shared" si="25"/>
        <v>0</v>
      </c>
    </row>
    <row r="137" spans="2:21" s="28" customFormat="1" ht="33.75" hidden="1" customHeight="1">
      <c r="B137" s="29">
        <v>134</v>
      </c>
      <c r="C137" s="29">
        <f>'[1]B(근태)'!B805</f>
        <v>0</v>
      </c>
      <c r="D137" s="30">
        <f>'[1]B(근태)'!C805</f>
        <v>0</v>
      </c>
      <c r="E137" s="31">
        <f>'[1]B(근태)'!AL805</f>
        <v>0</v>
      </c>
      <c r="F137" s="32">
        <f t="shared" si="28"/>
        <v>0</v>
      </c>
      <c r="G137" s="33">
        <f>'[1]B(근태)'!AL806</f>
        <v>0</v>
      </c>
      <c r="H137" s="32">
        <f t="shared" si="29"/>
        <v>0</v>
      </c>
      <c r="I137" s="33"/>
      <c r="J137" s="32">
        <f t="shared" si="21"/>
        <v>0</v>
      </c>
      <c r="K137" s="33">
        <f>'[1]B(근태)'!AL808</f>
        <v>0</v>
      </c>
      <c r="L137" s="32">
        <f t="shared" si="30"/>
        <v>0</v>
      </c>
      <c r="M137" s="33">
        <f>'[1]B(근태)'!AL809</f>
        <v>0</v>
      </c>
      <c r="N137" s="32">
        <f t="shared" si="26"/>
        <v>0</v>
      </c>
      <c r="O137" s="32"/>
      <c r="P137" s="63"/>
      <c r="Q137" s="37">
        <f t="shared" si="20"/>
        <v>0</v>
      </c>
      <c r="R137" s="58">
        <f t="shared" si="22"/>
        <v>0</v>
      </c>
      <c r="S137" s="58">
        <f t="shared" si="23"/>
        <v>0</v>
      </c>
      <c r="T137" s="60">
        <f t="shared" si="27"/>
        <v>0</v>
      </c>
      <c r="U137" s="61">
        <f t="shared" si="25"/>
        <v>0</v>
      </c>
    </row>
    <row r="138" spans="2:21" s="28" customFormat="1" ht="33.75" hidden="1" customHeight="1">
      <c r="B138" s="29">
        <v>135</v>
      </c>
      <c r="C138" s="29">
        <f>'[1]B(근태)'!B811</f>
        <v>0</v>
      </c>
      <c r="D138" s="30">
        <f>'[1]B(근태)'!C811</f>
        <v>0</v>
      </c>
      <c r="E138" s="31">
        <f>'[1]B(근태)'!AL811</f>
        <v>0</v>
      </c>
      <c r="F138" s="32">
        <f t="shared" si="28"/>
        <v>0</v>
      </c>
      <c r="G138" s="33">
        <f>'[1]B(근태)'!AL812</f>
        <v>0</v>
      </c>
      <c r="H138" s="32">
        <f t="shared" si="29"/>
        <v>0</v>
      </c>
      <c r="I138" s="33"/>
      <c r="J138" s="32">
        <f t="shared" si="21"/>
        <v>0</v>
      </c>
      <c r="K138" s="33">
        <f>'[1]B(근태)'!AL814</f>
        <v>0</v>
      </c>
      <c r="L138" s="32">
        <f t="shared" si="30"/>
        <v>0</v>
      </c>
      <c r="M138" s="33">
        <f>'[1]B(근태)'!AL815</f>
        <v>0</v>
      </c>
      <c r="N138" s="32">
        <f t="shared" si="26"/>
        <v>0</v>
      </c>
      <c r="O138" s="32"/>
      <c r="P138" s="63"/>
      <c r="Q138" s="37">
        <f t="shared" si="20"/>
        <v>0</v>
      </c>
      <c r="R138" s="58">
        <f t="shared" si="22"/>
        <v>0</v>
      </c>
      <c r="S138" s="58">
        <f t="shared" si="23"/>
        <v>0</v>
      </c>
      <c r="T138" s="60">
        <f t="shared" si="27"/>
        <v>0</v>
      </c>
      <c r="U138" s="61">
        <f t="shared" si="25"/>
        <v>0</v>
      </c>
    </row>
    <row r="139" spans="2:21" s="28" customFormat="1" ht="33.75" hidden="1" customHeight="1">
      <c r="B139" s="29">
        <v>136</v>
      </c>
      <c r="C139" s="29">
        <f>'[1]B(근태)'!B817</f>
        <v>0</v>
      </c>
      <c r="D139" s="30">
        <f>'[1]B(근태)'!C817</f>
        <v>0</v>
      </c>
      <c r="E139" s="31">
        <f>'[1]B(근태)'!AL817</f>
        <v>0</v>
      </c>
      <c r="F139" s="32">
        <f t="shared" si="28"/>
        <v>0</v>
      </c>
      <c r="G139" s="33">
        <f>'[1]B(근태)'!AL818</f>
        <v>0</v>
      </c>
      <c r="H139" s="32">
        <f t="shared" si="29"/>
        <v>0</v>
      </c>
      <c r="I139" s="33"/>
      <c r="J139" s="32">
        <f t="shared" si="21"/>
        <v>0</v>
      </c>
      <c r="K139" s="33">
        <f>'[1]B(근태)'!AL820</f>
        <v>0</v>
      </c>
      <c r="L139" s="32">
        <f t="shared" si="30"/>
        <v>0</v>
      </c>
      <c r="M139" s="33">
        <f>'[1]B(근태)'!AL821</f>
        <v>0</v>
      </c>
      <c r="N139" s="32">
        <f t="shared" si="26"/>
        <v>0</v>
      </c>
      <c r="O139" s="32"/>
      <c r="P139" s="63"/>
      <c r="Q139" s="37">
        <f t="shared" si="20"/>
        <v>0</v>
      </c>
      <c r="R139" s="58">
        <f t="shared" si="22"/>
        <v>0</v>
      </c>
      <c r="S139" s="58">
        <f t="shared" si="23"/>
        <v>0</v>
      </c>
      <c r="T139" s="60">
        <f t="shared" si="27"/>
        <v>0</v>
      </c>
      <c r="U139" s="61">
        <f t="shared" si="25"/>
        <v>0</v>
      </c>
    </row>
    <row r="140" spans="2:21" s="28" customFormat="1" ht="33.75" hidden="1" customHeight="1">
      <c r="B140" s="29">
        <v>137</v>
      </c>
      <c r="C140" s="29">
        <f>'[1]B(근태)'!B823</f>
        <v>0</v>
      </c>
      <c r="D140" s="30">
        <f>'[1]B(근태)'!C823</f>
        <v>0</v>
      </c>
      <c r="E140" s="31">
        <f>'[1]B(근태)'!AL823</f>
        <v>0</v>
      </c>
      <c r="F140" s="32">
        <f t="shared" si="28"/>
        <v>0</v>
      </c>
      <c r="G140" s="33">
        <f>'[1]B(근태)'!AL824</f>
        <v>0</v>
      </c>
      <c r="H140" s="32">
        <f t="shared" si="29"/>
        <v>0</v>
      </c>
      <c r="I140" s="33"/>
      <c r="J140" s="32">
        <f t="shared" si="21"/>
        <v>0</v>
      </c>
      <c r="K140" s="33">
        <f>'[1]B(근태)'!AL826</f>
        <v>0</v>
      </c>
      <c r="L140" s="32">
        <f t="shared" si="30"/>
        <v>0</v>
      </c>
      <c r="M140" s="33">
        <f>'[1]B(근태)'!AL827</f>
        <v>0</v>
      </c>
      <c r="N140" s="32">
        <f t="shared" si="26"/>
        <v>0</v>
      </c>
      <c r="O140" s="32"/>
      <c r="P140" s="63"/>
      <c r="Q140" s="37">
        <f t="shared" si="20"/>
        <v>0</v>
      </c>
      <c r="R140" s="58">
        <f t="shared" si="22"/>
        <v>0</v>
      </c>
      <c r="S140" s="58">
        <f t="shared" si="23"/>
        <v>0</v>
      </c>
      <c r="T140" s="60">
        <f t="shared" si="27"/>
        <v>0</v>
      </c>
      <c r="U140" s="61">
        <f t="shared" si="25"/>
        <v>0</v>
      </c>
    </row>
    <row r="141" spans="2:21" s="28" customFormat="1" ht="33.75" hidden="1" customHeight="1">
      <c r="B141" s="29">
        <v>138</v>
      </c>
      <c r="C141" s="29">
        <f>'[1]B(근태)'!B829</f>
        <v>0</v>
      </c>
      <c r="D141" s="30">
        <f>'[1]B(근태)'!C829</f>
        <v>0</v>
      </c>
      <c r="E141" s="31">
        <f>'[1]B(근태)'!AL829</f>
        <v>0</v>
      </c>
      <c r="F141" s="32">
        <f t="shared" si="28"/>
        <v>0</v>
      </c>
      <c r="G141" s="33">
        <f>'[1]B(근태)'!AL830</f>
        <v>0</v>
      </c>
      <c r="H141" s="32">
        <f t="shared" si="29"/>
        <v>0</v>
      </c>
      <c r="I141" s="33"/>
      <c r="J141" s="32">
        <f t="shared" si="21"/>
        <v>0</v>
      </c>
      <c r="K141" s="33">
        <f>'[1]B(근태)'!AL832</f>
        <v>0</v>
      </c>
      <c r="L141" s="32">
        <f t="shared" si="30"/>
        <v>0</v>
      </c>
      <c r="M141" s="33">
        <f>'[1]B(근태)'!AL833</f>
        <v>0</v>
      </c>
      <c r="N141" s="32">
        <f t="shared" si="26"/>
        <v>0</v>
      </c>
      <c r="O141" s="32"/>
      <c r="P141" s="63"/>
      <c r="Q141" s="37">
        <f t="shared" si="20"/>
        <v>0</v>
      </c>
      <c r="R141" s="58">
        <f t="shared" si="22"/>
        <v>0</v>
      </c>
      <c r="S141" s="58">
        <f t="shared" si="23"/>
        <v>0</v>
      </c>
      <c r="T141" s="60">
        <f t="shared" si="27"/>
        <v>0</v>
      </c>
      <c r="U141" s="61">
        <f t="shared" si="25"/>
        <v>0</v>
      </c>
    </row>
    <row r="142" spans="2:21" s="28" customFormat="1" ht="33.75" hidden="1" customHeight="1">
      <c r="B142" s="29">
        <v>139</v>
      </c>
      <c r="C142" s="29">
        <f>'[1]B(근태)'!B835</f>
        <v>0</v>
      </c>
      <c r="D142" s="30">
        <f>'[1]B(근태)'!C835</f>
        <v>0</v>
      </c>
      <c r="E142" s="31">
        <f>'[1]B(근태)'!AL835</f>
        <v>0</v>
      </c>
      <c r="F142" s="32">
        <f t="shared" si="28"/>
        <v>0</v>
      </c>
      <c r="G142" s="33">
        <f>'[1]B(근태)'!AL836</f>
        <v>0</v>
      </c>
      <c r="H142" s="32">
        <f t="shared" si="29"/>
        <v>0</v>
      </c>
      <c r="I142" s="33"/>
      <c r="J142" s="32">
        <f t="shared" si="21"/>
        <v>0</v>
      </c>
      <c r="K142" s="33">
        <f>'[1]B(근태)'!AL838</f>
        <v>0</v>
      </c>
      <c r="L142" s="32">
        <f t="shared" si="30"/>
        <v>0</v>
      </c>
      <c r="M142" s="33">
        <f>'[1]B(근태)'!AL839</f>
        <v>0</v>
      </c>
      <c r="N142" s="32">
        <f t="shared" si="26"/>
        <v>0</v>
      </c>
      <c r="O142" s="32"/>
      <c r="P142" s="63"/>
      <c r="Q142" s="37">
        <f t="shared" si="20"/>
        <v>0</v>
      </c>
      <c r="R142" s="58">
        <f t="shared" si="22"/>
        <v>0</v>
      </c>
      <c r="S142" s="58">
        <f t="shared" si="23"/>
        <v>0</v>
      </c>
      <c r="T142" s="60">
        <f t="shared" si="27"/>
        <v>0</v>
      </c>
      <c r="U142" s="61">
        <f t="shared" si="25"/>
        <v>0</v>
      </c>
    </row>
    <row r="143" spans="2:21" s="28" customFormat="1" ht="33.75" hidden="1" customHeight="1">
      <c r="B143" s="29">
        <v>140</v>
      </c>
      <c r="C143" s="29">
        <f>'[1]B(근태)'!B841</f>
        <v>0</v>
      </c>
      <c r="D143" s="30">
        <f>'[1]B(근태)'!C841</f>
        <v>0</v>
      </c>
      <c r="E143" s="31">
        <f>'[1]B(근태)'!AL841</f>
        <v>0</v>
      </c>
      <c r="F143" s="32">
        <f t="shared" si="28"/>
        <v>0</v>
      </c>
      <c r="G143" s="33">
        <f>'[1]B(근태)'!AL842</f>
        <v>0</v>
      </c>
      <c r="H143" s="32">
        <f t="shared" si="29"/>
        <v>0</v>
      </c>
      <c r="I143" s="33"/>
      <c r="J143" s="32">
        <f t="shared" si="21"/>
        <v>0</v>
      </c>
      <c r="K143" s="33">
        <f>'[1]B(근태)'!AL844</f>
        <v>0</v>
      </c>
      <c r="L143" s="32">
        <f t="shared" si="30"/>
        <v>0</v>
      </c>
      <c r="M143" s="33">
        <f>'[1]B(근태)'!AL845</f>
        <v>0</v>
      </c>
      <c r="N143" s="32">
        <f t="shared" si="26"/>
        <v>0</v>
      </c>
      <c r="O143" s="32"/>
      <c r="P143" s="63"/>
      <c r="Q143" s="37">
        <f t="shared" si="20"/>
        <v>0</v>
      </c>
      <c r="R143" s="58">
        <f t="shared" si="22"/>
        <v>0</v>
      </c>
      <c r="S143" s="58">
        <f t="shared" si="23"/>
        <v>0</v>
      </c>
      <c r="T143" s="60">
        <f t="shared" si="27"/>
        <v>0</v>
      </c>
      <c r="U143" s="61">
        <f t="shared" si="25"/>
        <v>0</v>
      </c>
    </row>
    <row r="144" spans="2:21" s="28" customFormat="1" ht="33.75" hidden="1" customHeight="1">
      <c r="B144" s="29">
        <v>141</v>
      </c>
      <c r="C144" s="29">
        <f>'[1]B(근태)'!B847</f>
        <v>0</v>
      </c>
      <c r="D144" s="30">
        <f>'[1]B(근태)'!C847</f>
        <v>0</v>
      </c>
      <c r="E144" s="31">
        <f>'[1]B(근태)'!AL847</f>
        <v>0</v>
      </c>
      <c r="F144" s="32">
        <f t="shared" si="28"/>
        <v>0</v>
      </c>
      <c r="G144" s="33">
        <f>'[1]B(근태)'!AL848</f>
        <v>0</v>
      </c>
      <c r="H144" s="32">
        <f t="shared" si="29"/>
        <v>0</v>
      </c>
      <c r="I144" s="33"/>
      <c r="J144" s="32">
        <f t="shared" si="21"/>
        <v>0</v>
      </c>
      <c r="K144" s="33">
        <f>'[1]B(근태)'!AL850</f>
        <v>0</v>
      </c>
      <c r="L144" s="32">
        <f t="shared" si="30"/>
        <v>0</v>
      </c>
      <c r="M144" s="33">
        <f>'[1]B(근태)'!AL851</f>
        <v>0</v>
      </c>
      <c r="N144" s="32">
        <f t="shared" si="26"/>
        <v>0</v>
      </c>
      <c r="O144" s="32"/>
      <c r="P144" s="63"/>
      <c r="Q144" s="37">
        <f t="shared" si="20"/>
        <v>0</v>
      </c>
      <c r="R144" s="58">
        <f t="shared" si="22"/>
        <v>0</v>
      </c>
      <c r="S144" s="58">
        <f t="shared" si="23"/>
        <v>0</v>
      </c>
      <c r="T144" s="60">
        <f t="shared" si="27"/>
        <v>0</v>
      </c>
      <c r="U144" s="61">
        <f t="shared" si="25"/>
        <v>0</v>
      </c>
    </row>
    <row r="145" spans="2:21" s="28" customFormat="1" ht="33.75" hidden="1" customHeight="1">
      <c r="B145" s="29">
        <v>142</v>
      </c>
      <c r="C145" s="29">
        <f>'[1]B(근태)'!B853</f>
        <v>0</v>
      </c>
      <c r="D145" s="30">
        <f>'[1]B(근태)'!C853</f>
        <v>0</v>
      </c>
      <c r="E145" s="31">
        <f>'[1]B(근태)'!AL853</f>
        <v>0</v>
      </c>
      <c r="F145" s="32">
        <f t="shared" si="28"/>
        <v>0</v>
      </c>
      <c r="G145" s="33">
        <f>'[1]B(근태)'!AL854</f>
        <v>0</v>
      </c>
      <c r="H145" s="32">
        <f t="shared" si="29"/>
        <v>0</v>
      </c>
      <c r="I145" s="33"/>
      <c r="J145" s="32">
        <f t="shared" si="21"/>
        <v>0</v>
      </c>
      <c r="K145" s="33">
        <f>'[1]B(근태)'!AL856</f>
        <v>0</v>
      </c>
      <c r="L145" s="32">
        <f t="shared" si="30"/>
        <v>0</v>
      </c>
      <c r="M145" s="33">
        <f>'[1]B(근태)'!AL857</f>
        <v>0</v>
      </c>
      <c r="N145" s="32">
        <f t="shared" si="26"/>
        <v>0</v>
      </c>
      <c r="O145" s="32"/>
      <c r="P145" s="63"/>
      <c r="Q145" s="37">
        <f t="shared" si="20"/>
        <v>0</v>
      </c>
      <c r="R145" s="58">
        <f t="shared" si="22"/>
        <v>0</v>
      </c>
      <c r="S145" s="58">
        <f t="shared" si="23"/>
        <v>0</v>
      </c>
      <c r="T145" s="60">
        <f t="shared" si="27"/>
        <v>0</v>
      </c>
      <c r="U145" s="61">
        <f t="shared" si="25"/>
        <v>0</v>
      </c>
    </row>
    <row r="146" spans="2:21" s="28" customFormat="1" ht="33.75" hidden="1" customHeight="1">
      <c r="B146" s="29">
        <v>143</v>
      </c>
      <c r="C146" s="29">
        <f>'[1]B(근태)'!B859</f>
        <v>0</v>
      </c>
      <c r="D146" s="30">
        <f>'[1]B(근태)'!C859</f>
        <v>0</v>
      </c>
      <c r="E146" s="31">
        <f>'[1]B(근태)'!AL859</f>
        <v>0</v>
      </c>
      <c r="F146" s="32">
        <f t="shared" si="28"/>
        <v>0</v>
      </c>
      <c r="G146" s="33">
        <f>'[1]B(근태)'!AL860</f>
        <v>0</v>
      </c>
      <c r="H146" s="32">
        <f t="shared" si="29"/>
        <v>0</v>
      </c>
      <c r="I146" s="33"/>
      <c r="J146" s="32">
        <f t="shared" si="21"/>
        <v>0</v>
      </c>
      <c r="K146" s="33">
        <f>'[1]B(근태)'!AL862</f>
        <v>0</v>
      </c>
      <c r="L146" s="32">
        <f t="shared" si="30"/>
        <v>0</v>
      </c>
      <c r="M146" s="33">
        <f>'[1]B(근태)'!AL863</f>
        <v>0</v>
      </c>
      <c r="N146" s="32">
        <f t="shared" si="26"/>
        <v>0</v>
      </c>
      <c r="O146" s="32"/>
      <c r="P146" s="63"/>
      <c r="Q146" s="37">
        <f t="shared" si="20"/>
        <v>0</v>
      </c>
      <c r="R146" s="58">
        <f t="shared" si="22"/>
        <v>0</v>
      </c>
      <c r="S146" s="58">
        <f t="shared" si="23"/>
        <v>0</v>
      </c>
      <c r="T146" s="60">
        <f t="shared" si="27"/>
        <v>0</v>
      </c>
      <c r="U146" s="61">
        <f t="shared" si="25"/>
        <v>0</v>
      </c>
    </row>
    <row r="147" spans="2:21" s="28" customFormat="1" ht="33.75" hidden="1" customHeight="1">
      <c r="B147" s="29">
        <v>144</v>
      </c>
      <c r="C147" s="29">
        <f>'[1]B(근태)'!B865</f>
        <v>0</v>
      </c>
      <c r="D147" s="30">
        <f>'[1]B(근태)'!C865</f>
        <v>0</v>
      </c>
      <c r="E147" s="31">
        <f>'[1]B(근태)'!AL865</f>
        <v>0</v>
      </c>
      <c r="F147" s="32">
        <f t="shared" si="28"/>
        <v>0</v>
      </c>
      <c r="G147" s="33">
        <f>'[1]B(근태)'!AL866</f>
        <v>0</v>
      </c>
      <c r="H147" s="32">
        <f t="shared" si="29"/>
        <v>0</v>
      </c>
      <c r="I147" s="33"/>
      <c r="J147" s="32">
        <f t="shared" si="21"/>
        <v>0</v>
      </c>
      <c r="K147" s="33">
        <f>'[1]B(근태)'!AL868</f>
        <v>0</v>
      </c>
      <c r="L147" s="32">
        <f t="shared" si="30"/>
        <v>0</v>
      </c>
      <c r="M147" s="33">
        <f>'[1]B(근태)'!AL869</f>
        <v>0</v>
      </c>
      <c r="N147" s="32">
        <f t="shared" si="26"/>
        <v>0</v>
      </c>
      <c r="O147" s="32"/>
      <c r="P147" s="63"/>
      <c r="Q147" s="37">
        <f t="shared" si="20"/>
        <v>0</v>
      </c>
      <c r="R147" s="58">
        <f t="shared" si="22"/>
        <v>0</v>
      </c>
      <c r="S147" s="58">
        <f t="shared" si="23"/>
        <v>0</v>
      </c>
      <c r="T147" s="60">
        <f t="shared" si="27"/>
        <v>0</v>
      </c>
      <c r="U147" s="61">
        <f t="shared" si="25"/>
        <v>0</v>
      </c>
    </row>
    <row r="148" spans="2:21" s="28" customFormat="1" ht="33.75" hidden="1" customHeight="1">
      <c r="B148" s="29">
        <v>145</v>
      </c>
      <c r="C148" s="29">
        <f>'[1]B(근태)'!B871</f>
        <v>0</v>
      </c>
      <c r="D148" s="30">
        <f>'[1]B(근태)'!C871</f>
        <v>0</v>
      </c>
      <c r="E148" s="31">
        <f>'[1]B(근태)'!AL871</f>
        <v>0</v>
      </c>
      <c r="F148" s="32">
        <f t="shared" si="28"/>
        <v>0</v>
      </c>
      <c r="G148" s="33">
        <f>'[1]B(근태)'!AL872</f>
        <v>0</v>
      </c>
      <c r="H148" s="32">
        <f t="shared" si="29"/>
        <v>0</v>
      </c>
      <c r="I148" s="33"/>
      <c r="J148" s="32">
        <f t="shared" si="21"/>
        <v>0</v>
      </c>
      <c r="K148" s="33">
        <f>'[1]B(근태)'!AL874</f>
        <v>0</v>
      </c>
      <c r="L148" s="32">
        <f t="shared" si="30"/>
        <v>0</v>
      </c>
      <c r="M148" s="33">
        <f>'[1]B(근태)'!AL875</f>
        <v>0</v>
      </c>
      <c r="N148" s="32">
        <f t="shared" si="26"/>
        <v>0</v>
      </c>
      <c r="O148" s="32"/>
      <c r="P148" s="63"/>
      <c r="Q148" s="37">
        <f t="shared" si="20"/>
        <v>0</v>
      </c>
      <c r="R148" s="58">
        <f t="shared" si="22"/>
        <v>0</v>
      </c>
      <c r="S148" s="58">
        <f t="shared" si="23"/>
        <v>0</v>
      </c>
      <c r="T148" s="60">
        <f t="shared" si="27"/>
        <v>0</v>
      </c>
      <c r="U148" s="61">
        <f t="shared" si="25"/>
        <v>0</v>
      </c>
    </row>
    <row r="149" spans="2:21" s="28" customFormat="1" ht="33.75" hidden="1" customHeight="1">
      <c r="B149" s="29">
        <v>146</v>
      </c>
      <c r="C149" s="29">
        <f>'[1]B(근태)'!B877</f>
        <v>0</v>
      </c>
      <c r="D149" s="30">
        <f>'[1]B(근태)'!C877</f>
        <v>0</v>
      </c>
      <c r="E149" s="31">
        <f>'[1]B(근태)'!AL877</f>
        <v>0</v>
      </c>
      <c r="F149" s="32">
        <f t="shared" si="28"/>
        <v>0</v>
      </c>
      <c r="G149" s="33">
        <f>'[1]B(근태)'!AL878</f>
        <v>0</v>
      </c>
      <c r="H149" s="32">
        <f t="shared" si="29"/>
        <v>0</v>
      </c>
      <c r="I149" s="33"/>
      <c r="J149" s="32">
        <f t="shared" si="21"/>
        <v>0</v>
      </c>
      <c r="K149" s="33">
        <f>'[1]B(근태)'!AL880</f>
        <v>0</v>
      </c>
      <c r="L149" s="32">
        <f t="shared" si="30"/>
        <v>0</v>
      </c>
      <c r="M149" s="33">
        <f>'[1]B(근태)'!AL881</f>
        <v>0</v>
      </c>
      <c r="N149" s="32">
        <f t="shared" si="26"/>
        <v>0</v>
      </c>
      <c r="O149" s="32"/>
      <c r="P149" s="63"/>
      <c r="Q149" s="37">
        <f t="shared" si="20"/>
        <v>0</v>
      </c>
      <c r="R149" s="58">
        <f t="shared" si="22"/>
        <v>0</v>
      </c>
      <c r="S149" s="58">
        <f t="shared" si="23"/>
        <v>0</v>
      </c>
      <c r="T149" s="60">
        <f t="shared" si="27"/>
        <v>0</v>
      </c>
      <c r="U149" s="61">
        <f t="shared" si="25"/>
        <v>0</v>
      </c>
    </row>
    <row r="150" spans="2:21" s="28" customFormat="1" ht="33.75" hidden="1" customHeight="1">
      <c r="B150" s="29">
        <v>147</v>
      </c>
      <c r="C150" s="29">
        <f>'[1]B(근태)'!B883</f>
        <v>0</v>
      </c>
      <c r="D150" s="30">
        <f>'[1]B(근태)'!C883</f>
        <v>0</v>
      </c>
      <c r="E150" s="31">
        <f>'[1]B(근태)'!AL883</f>
        <v>0</v>
      </c>
      <c r="F150" s="32">
        <f t="shared" si="28"/>
        <v>0</v>
      </c>
      <c r="G150" s="33">
        <f>'[1]B(근태)'!AL884</f>
        <v>0</v>
      </c>
      <c r="H150" s="32">
        <f t="shared" si="29"/>
        <v>0</v>
      </c>
      <c r="I150" s="33"/>
      <c r="J150" s="32">
        <f t="shared" si="21"/>
        <v>0</v>
      </c>
      <c r="K150" s="33">
        <f>'[1]B(근태)'!AL886</f>
        <v>0</v>
      </c>
      <c r="L150" s="32">
        <f t="shared" si="30"/>
        <v>0</v>
      </c>
      <c r="M150" s="33">
        <f>'[1]B(근태)'!AL887</f>
        <v>0</v>
      </c>
      <c r="N150" s="32">
        <f t="shared" si="26"/>
        <v>0</v>
      </c>
      <c r="O150" s="32"/>
      <c r="P150" s="63"/>
      <c r="Q150" s="37">
        <f t="shared" si="20"/>
        <v>0</v>
      </c>
      <c r="R150" s="58">
        <f t="shared" si="22"/>
        <v>0</v>
      </c>
      <c r="S150" s="58">
        <f t="shared" si="23"/>
        <v>0</v>
      </c>
      <c r="T150" s="60">
        <f t="shared" si="27"/>
        <v>0</v>
      </c>
      <c r="U150" s="61">
        <f t="shared" si="25"/>
        <v>0</v>
      </c>
    </row>
    <row r="151" spans="2:21" s="28" customFormat="1" ht="17.25" hidden="1" thickBot="1">
      <c r="B151" s="29">
        <v>148</v>
      </c>
      <c r="C151" s="29">
        <f>'[1]B(근태)'!B889</f>
        <v>0</v>
      </c>
      <c r="D151" s="30"/>
      <c r="E151" s="31">
        <f>'[1]B(근태)'!AL889</f>
        <v>0</v>
      </c>
      <c r="F151" s="32">
        <f t="shared" si="28"/>
        <v>0</v>
      </c>
      <c r="G151" s="33">
        <f>'[1]B(근태)'!AL890</f>
        <v>0</v>
      </c>
      <c r="H151" s="32">
        <f t="shared" si="29"/>
        <v>0</v>
      </c>
      <c r="I151" s="33"/>
      <c r="J151" s="32">
        <f t="shared" si="21"/>
        <v>0</v>
      </c>
      <c r="K151" s="33">
        <f>'[1]B(근태)'!AL892</f>
        <v>0</v>
      </c>
      <c r="L151" s="32">
        <f t="shared" si="30"/>
        <v>0</v>
      </c>
      <c r="M151" s="33">
        <f>'[1]B(근태)'!AL893</f>
        <v>0</v>
      </c>
      <c r="N151" s="32">
        <f t="shared" si="26"/>
        <v>0</v>
      </c>
      <c r="O151" s="32"/>
      <c r="P151" s="63"/>
      <c r="Q151" s="37">
        <f t="shared" si="20"/>
        <v>0</v>
      </c>
      <c r="R151" s="58">
        <f t="shared" si="22"/>
        <v>0</v>
      </c>
      <c r="S151" s="58">
        <f t="shared" si="23"/>
        <v>0</v>
      </c>
      <c r="T151" s="60">
        <f t="shared" si="27"/>
        <v>0</v>
      </c>
      <c r="U151" s="61">
        <f t="shared" si="25"/>
        <v>0</v>
      </c>
    </row>
    <row r="152" spans="2:21" s="28" customFormat="1" ht="17.25" hidden="1" thickBot="1">
      <c r="B152" s="29">
        <v>149</v>
      </c>
      <c r="C152" s="29">
        <f>'[1]B(근태)'!B895</f>
        <v>0</v>
      </c>
      <c r="D152" s="30"/>
      <c r="E152" s="31">
        <f>'[1]B(근태)'!AL895</f>
        <v>0</v>
      </c>
      <c r="F152" s="32">
        <f t="shared" si="28"/>
        <v>0</v>
      </c>
      <c r="G152" s="33">
        <f>'[1]B(근태)'!AL896</f>
        <v>0</v>
      </c>
      <c r="H152" s="32">
        <f t="shared" si="29"/>
        <v>0</v>
      </c>
      <c r="I152" s="33"/>
      <c r="J152" s="32">
        <f t="shared" si="21"/>
        <v>0</v>
      </c>
      <c r="K152" s="33">
        <f>'[1]B(근태)'!AL898</f>
        <v>0</v>
      </c>
      <c r="L152" s="32">
        <f t="shared" si="30"/>
        <v>0</v>
      </c>
      <c r="M152" s="33">
        <f>'[1]B(근태)'!AL899</f>
        <v>0</v>
      </c>
      <c r="N152" s="32">
        <f t="shared" si="26"/>
        <v>0</v>
      </c>
      <c r="O152" s="32"/>
      <c r="P152" s="63"/>
      <c r="Q152" s="37">
        <f t="shared" si="20"/>
        <v>0</v>
      </c>
      <c r="R152" s="58">
        <f t="shared" si="22"/>
        <v>0</v>
      </c>
      <c r="S152" s="58">
        <f t="shared" si="23"/>
        <v>0</v>
      </c>
      <c r="T152" s="60">
        <f t="shared" si="27"/>
        <v>0</v>
      </c>
      <c r="U152" s="61">
        <f t="shared" si="25"/>
        <v>0</v>
      </c>
    </row>
    <row r="153" spans="2:21" s="28" customFormat="1" ht="17.25" hidden="1" thickBot="1">
      <c r="B153" s="29">
        <v>150</v>
      </c>
      <c r="C153" s="29">
        <f>'[1]B(근태)'!B901</f>
        <v>0</v>
      </c>
      <c r="D153" s="30"/>
      <c r="E153" s="31">
        <f>'[1]B(근태)'!AL901</f>
        <v>0</v>
      </c>
      <c r="F153" s="32">
        <f t="shared" si="28"/>
        <v>0</v>
      </c>
      <c r="G153" s="33">
        <f>'[1]B(근태)'!AL902</f>
        <v>0</v>
      </c>
      <c r="H153" s="32">
        <f t="shared" si="29"/>
        <v>0</v>
      </c>
      <c r="I153" s="33"/>
      <c r="J153" s="32">
        <f t="shared" si="21"/>
        <v>0</v>
      </c>
      <c r="K153" s="33">
        <f>'[1]B(근태)'!AL904</f>
        <v>0</v>
      </c>
      <c r="L153" s="32">
        <f t="shared" si="30"/>
        <v>0</v>
      </c>
      <c r="M153" s="33">
        <f>'[1]B(근태)'!AL905</f>
        <v>0</v>
      </c>
      <c r="N153" s="32">
        <f t="shared" si="26"/>
        <v>0</v>
      </c>
      <c r="O153" s="32"/>
      <c r="P153" s="63"/>
      <c r="Q153" s="37">
        <f t="shared" si="20"/>
        <v>0</v>
      </c>
      <c r="R153" s="58">
        <f t="shared" si="22"/>
        <v>0</v>
      </c>
      <c r="S153" s="58">
        <f t="shared" si="23"/>
        <v>0</v>
      </c>
      <c r="T153" s="60">
        <f t="shared" si="27"/>
        <v>0</v>
      </c>
      <c r="U153" s="61">
        <f t="shared" si="25"/>
        <v>0</v>
      </c>
    </row>
    <row r="154" spans="2:21" s="28" customFormat="1" ht="17.25" hidden="1" thickBot="1">
      <c r="B154" s="29">
        <v>151</v>
      </c>
      <c r="C154" s="29">
        <f>'[1]B(근태)'!B907</f>
        <v>0</v>
      </c>
      <c r="D154" s="30"/>
      <c r="E154" s="31">
        <f>'[1]B(근태)'!AL907</f>
        <v>0</v>
      </c>
      <c r="F154" s="32">
        <f t="shared" si="28"/>
        <v>0</v>
      </c>
      <c r="G154" s="33">
        <f>'[1]B(근태)'!AL908</f>
        <v>0</v>
      </c>
      <c r="H154" s="32">
        <f t="shared" si="29"/>
        <v>0</v>
      </c>
      <c r="I154" s="33"/>
      <c r="J154" s="32">
        <f t="shared" si="21"/>
        <v>0</v>
      </c>
      <c r="K154" s="33">
        <f>'[1]B(근태)'!AL910</f>
        <v>0</v>
      </c>
      <c r="L154" s="32">
        <f t="shared" si="30"/>
        <v>0</v>
      </c>
      <c r="M154" s="33">
        <f>'[1]B(근태)'!AL911</f>
        <v>0</v>
      </c>
      <c r="N154" s="32">
        <f t="shared" si="26"/>
        <v>0</v>
      </c>
      <c r="O154" s="32"/>
      <c r="P154" s="63"/>
      <c r="Q154" s="37">
        <f t="shared" ref="Q154:Q174" si="31">SUBTOTAL(9,F154,H154,L154,J154,P154,O154,N154)</f>
        <v>0</v>
      </c>
      <c r="R154" s="58">
        <f t="shared" si="22"/>
        <v>0</v>
      </c>
      <c r="S154" s="58">
        <f t="shared" si="23"/>
        <v>0</v>
      </c>
      <c r="T154" s="60">
        <f t="shared" si="27"/>
        <v>0</v>
      </c>
      <c r="U154" s="61">
        <f t="shared" si="25"/>
        <v>0</v>
      </c>
    </row>
    <row r="155" spans="2:21" s="28" customFormat="1" ht="17.25" hidden="1" thickBot="1">
      <c r="B155" s="29">
        <v>152</v>
      </c>
      <c r="C155" s="29">
        <f>'[1]B(근태)'!B913</f>
        <v>0</v>
      </c>
      <c r="D155" s="30"/>
      <c r="E155" s="31">
        <f>'[1]B(근태)'!AL913</f>
        <v>0</v>
      </c>
      <c r="F155" s="32">
        <f t="shared" si="28"/>
        <v>0</v>
      </c>
      <c r="G155" s="33">
        <f>'[1]B(근태)'!AL914</f>
        <v>0</v>
      </c>
      <c r="H155" s="32">
        <f t="shared" si="29"/>
        <v>0</v>
      </c>
      <c r="I155" s="33"/>
      <c r="J155" s="32">
        <f t="shared" ref="J155:J174" si="32">D155*0.5*I155</f>
        <v>0</v>
      </c>
      <c r="K155" s="33">
        <f>'[1]B(근태)'!AL916</f>
        <v>0</v>
      </c>
      <c r="L155" s="32">
        <f t="shared" si="30"/>
        <v>0</v>
      </c>
      <c r="M155" s="33">
        <f>'[1]B(근태)'!AL917</f>
        <v>0</v>
      </c>
      <c r="N155" s="32">
        <f t="shared" si="26"/>
        <v>0</v>
      </c>
      <c r="O155" s="32"/>
      <c r="P155" s="63"/>
      <c r="Q155" s="37">
        <f t="shared" si="31"/>
        <v>0</v>
      </c>
      <c r="R155" s="58">
        <f t="shared" ref="R155:R174" si="33">Q155*0.9%</f>
        <v>0</v>
      </c>
      <c r="S155" s="58">
        <f t="shared" ref="S155:S174" si="34">Q155*0.7%</f>
        <v>0</v>
      </c>
      <c r="T155" s="60">
        <f t="shared" si="27"/>
        <v>0</v>
      </c>
      <c r="U155" s="61">
        <f t="shared" ref="U155:U174" si="35">ROUNDUP(SUM(Q155+T155),-1)</f>
        <v>0</v>
      </c>
    </row>
    <row r="156" spans="2:21" s="28" customFormat="1" ht="17.25" hidden="1" thickBot="1">
      <c r="B156" s="29">
        <v>153</v>
      </c>
      <c r="C156" s="29">
        <f>'[1]B(근태)'!B919</f>
        <v>0</v>
      </c>
      <c r="D156" s="30"/>
      <c r="E156" s="31">
        <f>'[1]B(근태)'!AL919</f>
        <v>0</v>
      </c>
      <c r="F156" s="32">
        <f t="shared" si="28"/>
        <v>0</v>
      </c>
      <c r="G156" s="33">
        <f>'[1]B(근태)'!AL920</f>
        <v>0</v>
      </c>
      <c r="H156" s="32">
        <f t="shared" si="29"/>
        <v>0</v>
      </c>
      <c r="I156" s="33"/>
      <c r="J156" s="32">
        <f t="shared" si="32"/>
        <v>0</v>
      </c>
      <c r="K156" s="33">
        <f>'[1]B(근태)'!AL922</f>
        <v>0</v>
      </c>
      <c r="L156" s="32">
        <f t="shared" si="30"/>
        <v>0</v>
      </c>
      <c r="M156" s="33">
        <f>'[1]B(근태)'!AL923</f>
        <v>0</v>
      </c>
      <c r="N156" s="32">
        <f t="shared" si="26"/>
        <v>0</v>
      </c>
      <c r="O156" s="32"/>
      <c r="P156" s="63"/>
      <c r="Q156" s="37">
        <f t="shared" si="31"/>
        <v>0</v>
      </c>
      <c r="R156" s="58">
        <f t="shared" si="33"/>
        <v>0</v>
      </c>
      <c r="S156" s="58">
        <f t="shared" si="34"/>
        <v>0</v>
      </c>
      <c r="T156" s="60">
        <f t="shared" si="27"/>
        <v>0</v>
      </c>
      <c r="U156" s="61">
        <f t="shared" si="35"/>
        <v>0</v>
      </c>
    </row>
    <row r="157" spans="2:21" s="28" customFormat="1" ht="17.25" hidden="1" thickBot="1">
      <c r="B157" s="29">
        <v>154</v>
      </c>
      <c r="C157" s="29">
        <f>'[1]B(근태)'!B925</f>
        <v>0</v>
      </c>
      <c r="D157" s="30"/>
      <c r="E157" s="31">
        <f>'[1]B(근태)'!AL925</f>
        <v>0</v>
      </c>
      <c r="F157" s="32">
        <f t="shared" si="28"/>
        <v>0</v>
      </c>
      <c r="G157" s="33">
        <f>'[1]B(근태)'!AL926</f>
        <v>0</v>
      </c>
      <c r="H157" s="32">
        <f t="shared" si="29"/>
        <v>0</v>
      </c>
      <c r="I157" s="33"/>
      <c r="J157" s="32">
        <f t="shared" si="32"/>
        <v>0</v>
      </c>
      <c r="K157" s="33">
        <f>'[1]B(근태)'!AL928</f>
        <v>0</v>
      </c>
      <c r="L157" s="32">
        <f t="shared" si="30"/>
        <v>0</v>
      </c>
      <c r="M157" s="33">
        <f>'[1]B(근태)'!AL929</f>
        <v>0</v>
      </c>
      <c r="N157" s="32">
        <f t="shared" si="26"/>
        <v>0</v>
      </c>
      <c r="O157" s="32"/>
      <c r="P157" s="63"/>
      <c r="Q157" s="37">
        <f t="shared" si="31"/>
        <v>0</v>
      </c>
      <c r="R157" s="58">
        <f t="shared" si="33"/>
        <v>0</v>
      </c>
      <c r="S157" s="58">
        <f t="shared" si="34"/>
        <v>0</v>
      </c>
      <c r="T157" s="60">
        <f t="shared" si="27"/>
        <v>0</v>
      </c>
      <c r="U157" s="61">
        <f t="shared" si="35"/>
        <v>0</v>
      </c>
    </row>
    <row r="158" spans="2:21" s="28" customFormat="1" ht="17.25" hidden="1" thickBot="1">
      <c r="B158" s="29">
        <v>155</v>
      </c>
      <c r="C158" s="29">
        <f>'[1]B(근태)'!B931</f>
        <v>0</v>
      </c>
      <c r="D158" s="30"/>
      <c r="E158" s="31">
        <f>'[1]B(근태)'!AL931</f>
        <v>0</v>
      </c>
      <c r="F158" s="32">
        <f t="shared" si="28"/>
        <v>0</v>
      </c>
      <c r="G158" s="33">
        <f>'[1]B(근태)'!AL932</f>
        <v>0</v>
      </c>
      <c r="H158" s="32">
        <f t="shared" si="29"/>
        <v>0</v>
      </c>
      <c r="I158" s="33"/>
      <c r="J158" s="32">
        <f t="shared" si="32"/>
        <v>0</v>
      </c>
      <c r="K158" s="33">
        <f>'[1]B(근태)'!AL934</f>
        <v>0</v>
      </c>
      <c r="L158" s="32">
        <f t="shared" si="30"/>
        <v>0</v>
      </c>
      <c r="M158" s="33">
        <f>'[1]B(근태)'!AL935</f>
        <v>0</v>
      </c>
      <c r="N158" s="32">
        <f t="shared" si="26"/>
        <v>0</v>
      </c>
      <c r="O158" s="32"/>
      <c r="P158" s="63"/>
      <c r="Q158" s="37">
        <f t="shared" si="31"/>
        <v>0</v>
      </c>
      <c r="R158" s="58">
        <f t="shared" si="33"/>
        <v>0</v>
      </c>
      <c r="S158" s="58">
        <f t="shared" si="34"/>
        <v>0</v>
      </c>
      <c r="T158" s="60">
        <f t="shared" si="27"/>
        <v>0</v>
      </c>
      <c r="U158" s="61">
        <f t="shared" si="35"/>
        <v>0</v>
      </c>
    </row>
    <row r="159" spans="2:21" s="28" customFormat="1" ht="17.25" hidden="1" thickBot="1">
      <c r="B159" s="29">
        <v>156</v>
      </c>
      <c r="C159" s="29">
        <f>'[1]B(근태)'!B937</f>
        <v>0</v>
      </c>
      <c r="D159" s="30"/>
      <c r="E159" s="31">
        <f>'[1]B(근태)'!AL937</f>
        <v>0</v>
      </c>
      <c r="F159" s="32">
        <f t="shared" si="28"/>
        <v>0</v>
      </c>
      <c r="G159" s="33">
        <f>'[1]B(근태)'!AL938</f>
        <v>0</v>
      </c>
      <c r="H159" s="32">
        <f t="shared" si="29"/>
        <v>0</v>
      </c>
      <c r="I159" s="33"/>
      <c r="J159" s="32">
        <f t="shared" si="32"/>
        <v>0</v>
      </c>
      <c r="K159" s="33">
        <f>'[1]B(근태)'!AL940</f>
        <v>0</v>
      </c>
      <c r="L159" s="32">
        <f t="shared" si="30"/>
        <v>0</v>
      </c>
      <c r="M159" s="33">
        <f>'[1]B(근태)'!AL941</f>
        <v>0</v>
      </c>
      <c r="N159" s="32">
        <f t="shared" si="26"/>
        <v>0</v>
      </c>
      <c r="O159" s="32"/>
      <c r="P159" s="63"/>
      <c r="Q159" s="37">
        <f t="shared" si="31"/>
        <v>0</v>
      </c>
      <c r="R159" s="58">
        <f t="shared" si="33"/>
        <v>0</v>
      </c>
      <c r="S159" s="58">
        <f t="shared" si="34"/>
        <v>0</v>
      </c>
      <c r="T159" s="60">
        <f t="shared" si="27"/>
        <v>0</v>
      </c>
      <c r="U159" s="61">
        <f t="shared" si="35"/>
        <v>0</v>
      </c>
    </row>
    <row r="160" spans="2:21" s="28" customFormat="1" ht="17.25" hidden="1" thickBot="1">
      <c r="B160" s="29">
        <v>157</v>
      </c>
      <c r="C160" s="29" t="e">
        <f>'[1]B(근태)'!#REF!</f>
        <v>#REF!</v>
      </c>
      <c r="D160" s="30"/>
      <c r="E160" s="31" t="e">
        <f>'[1]B(근태)'!#REF!</f>
        <v>#REF!</v>
      </c>
      <c r="F160" s="32" t="e">
        <f t="shared" si="28"/>
        <v>#REF!</v>
      </c>
      <c r="G160" s="33" t="e">
        <f>'[1]B(근태)'!#REF!</f>
        <v>#REF!</v>
      </c>
      <c r="H160" s="32" t="e">
        <f t="shared" si="29"/>
        <v>#REF!</v>
      </c>
      <c r="I160" s="33"/>
      <c r="J160" s="32">
        <f t="shared" si="32"/>
        <v>0</v>
      </c>
      <c r="K160" s="33" t="e">
        <f>'[1]B(근태)'!#REF!</f>
        <v>#REF!</v>
      </c>
      <c r="L160" s="32" t="e">
        <f t="shared" si="30"/>
        <v>#REF!</v>
      </c>
      <c r="M160" s="33" t="e">
        <f>'[1]B(근태)'!#REF!</f>
        <v>#REF!</v>
      </c>
      <c r="N160" s="32" t="e">
        <f t="shared" si="26"/>
        <v>#REF!</v>
      </c>
      <c r="O160" s="32"/>
      <c r="P160" s="63"/>
      <c r="Q160" s="37" t="e">
        <f t="shared" si="31"/>
        <v>#REF!</v>
      </c>
      <c r="R160" s="58" t="e">
        <f t="shared" si="33"/>
        <v>#REF!</v>
      </c>
      <c r="S160" s="58" t="e">
        <f t="shared" si="34"/>
        <v>#REF!</v>
      </c>
      <c r="T160" s="60" t="e">
        <f t="shared" si="27"/>
        <v>#REF!</v>
      </c>
      <c r="U160" s="61" t="e">
        <f t="shared" si="35"/>
        <v>#REF!</v>
      </c>
    </row>
    <row r="161" spans="2:21" s="28" customFormat="1" ht="17.25" hidden="1" thickBot="1">
      <c r="B161" s="29">
        <v>158</v>
      </c>
      <c r="C161" s="29" t="e">
        <f>'[1]B(근태)'!#REF!</f>
        <v>#REF!</v>
      </c>
      <c r="D161" s="30"/>
      <c r="E161" s="31" t="e">
        <f>'[1]B(근태)'!#REF!</f>
        <v>#REF!</v>
      </c>
      <c r="F161" s="32" t="e">
        <f t="shared" si="28"/>
        <v>#REF!</v>
      </c>
      <c r="G161" s="33" t="e">
        <f>'[1]B(근태)'!#REF!</f>
        <v>#REF!</v>
      </c>
      <c r="H161" s="32" t="e">
        <f t="shared" si="29"/>
        <v>#REF!</v>
      </c>
      <c r="I161" s="33"/>
      <c r="J161" s="32">
        <f t="shared" si="32"/>
        <v>0</v>
      </c>
      <c r="K161" s="33" t="e">
        <f>'[1]B(근태)'!#REF!</f>
        <v>#REF!</v>
      </c>
      <c r="L161" s="32" t="e">
        <f t="shared" si="30"/>
        <v>#REF!</v>
      </c>
      <c r="M161" s="33" t="e">
        <f>'[1]B(근태)'!#REF!</f>
        <v>#REF!</v>
      </c>
      <c r="N161" s="32" t="e">
        <f t="shared" si="26"/>
        <v>#REF!</v>
      </c>
      <c r="O161" s="32"/>
      <c r="P161" s="63"/>
      <c r="Q161" s="37" t="e">
        <f t="shared" si="31"/>
        <v>#REF!</v>
      </c>
      <c r="R161" s="58" t="e">
        <f t="shared" si="33"/>
        <v>#REF!</v>
      </c>
      <c r="S161" s="58" t="e">
        <f t="shared" si="34"/>
        <v>#REF!</v>
      </c>
      <c r="T161" s="60" t="e">
        <f t="shared" si="27"/>
        <v>#REF!</v>
      </c>
      <c r="U161" s="61" t="e">
        <f t="shared" si="35"/>
        <v>#REF!</v>
      </c>
    </row>
    <row r="162" spans="2:21" s="28" customFormat="1" ht="17.25" hidden="1" thickBot="1">
      <c r="B162" s="29">
        <v>159</v>
      </c>
      <c r="C162" s="29" t="e">
        <f>'[1]B(근태)'!#REF!</f>
        <v>#REF!</v>
      </c>
      <c r="D162" s="30"/>
      <c r="E162" s="31" t="e">
        <f>'[1]B(근태)'!#REF!</f>
        <v>#REF!</v>
      </c>
      <c r="F162" s="32" t="e">
        <f t="shared" si="28"/>
        <v>#REF!</v>
      </c>
      <c r="G162" s="33" t="e">
        <f>'[1]B(근태)'!#REF!</f>
        <v>#REF!</v>
      </c>
      <c r="H162" s="32" t="e">
        <f t="shared" si="29"/>
        <v>#REF!</v>
      </c>
      <c r="I162" s="33"/>
      <c r="J162" s="32">
        <f t="shared" si="32"/>
        <v>0</v>
      </c>
      <c r="K162" s="33" t="e">
        <f>'[1]B(근태)'!#REF!</f>
        <v>#REF!</v>
      </c>
      <c r="L162" s="32" t="e">
        <f t="shared" si="30"/>
        <v>#REF!</v>
      </c>
      <c r="M162" s="33" t="e">
        <f>'[1]B(근태)'!#REF!</f>
        <v>#REF!</v>
      </c>
      <c r="N162" s="32" t="e">
        <f t="shared" si="26"/>
        <v>#REF!</v>
      </c>
      <c r="O162" s="32"/>
      <c r="P162" s="63"/>
      <c r="Q162" s="37" t="e">
        <f t="shared" si="31"/>
        <v>#REF!</v>
      </c>
      <c r="R162" s="58" t="e">
        <f t="shared" si="33"/>
        <v>#REF!</v>
      </c>
      <c r="S162" s="58" t="e">
        <f t="shared" si="34"/>
        <v>#REF!</v>
      </c>
      <c r="T162" s="60" t="e">
        <f t="shared" si="27"/>
        <v>#REF!</v>
      </c>
      <c r="U162" s="61" t="e">
        <f t="shared" si="35"/>
        <v>#REF!</v>
      </c>
    </row>
    <row r="163" spans="2:21" s="28" customFormat="1" ht="17.25" hidden="1" thickBot="1">
      <c r="B163" s="29">
        <v>160</v>
      </c>
      <c r="C163" s="29" t="e">
        <f>'[1]B(근태)'!#REF!</f>
        <v>#REF!</v>
      </c>
      <c r="D163" s="30"/>
      <c r="E163" s="31" t="e">
        <f>'[1]B(근태)'!#REF!</f>
        <v>#REF!</v>
      </c>
      <c r="F163" s="32" t="e">
        <f t="shared" si="28"/>
        <v>#REF!</v>
      </c>
      <c r="G163" s="33" t="e">
        <f>'[1]B(근태)'!#REF!</f>
        <v>#REF!</v>
      </c>
      <c r="H163" s="32" t="e">
        <f t="shared" si="29"/>
        <v>#REF!</v>
      </c>
      <c r="I163" s="33"/>
      <c r="J163" s="32">
        <f t="shared" si="32"/>
        <v>0</v>
      </c>
      <c r="K163" s="33" t="e">
        <f>'[1]B(근태)'!#REF!</f>
        <v>#REF!</v>
      </c>
      <c r="L163" s="32" t="e">
        <f t="shared" si="30"/>
        <v>#REF!</v>
      </c>
      <c r="M163" s="33" t="e">
        <f>'[1]B(근태)'!#REF!</f>
        <v>#REF!</v>
      </c>
      <c r="N163" s="32" t="e">
        <f t="shared" si="26"/>
        <v>#REF!</v>
      </c>
      <c r="O163" s="32"/>
      <c r="P163" s="63"/>
      <c r="Q163" s="37" t="e">
        <f t="shared" si="31"/>
        <v>#REF!</v>
      </c>
      <c r="R163" s="58" t="e">
        <f t="shared" si="33"/>
        <v>#REF!</v>
      </c>
      <c r="S163" s="58" t="e">
        <f t="shared" si="34"/>
        <v>#REF!</v>
      </c>
      <c r="T163" s="60" t="e">
        <f t="shared" si="27"/>
        <v>#REF!</v>
      </c>
      <c r="U163" s="61" t="e">
        <f t="shared" si="35"/>
        <v>#REF!</v>
      </c>
    </row>
    <row r="164" spans="2:21" s="28" customFormat="1" ht="17.25" hidden="1" thickBot="1">
      <c r="B164" s="29">
        <v>161</v>
      </c>
      <c r="C164" s="29" t="e">
        <f>'[1]B(근태)'!#REF!</f>
        <v>#REF!</v>
      </c>
      <c r="D164" s="30"/>
      <c r="E164" s="31" t="e">
        <f>'[1]B(근태)'!#REF!</f>
        <v>#REF!</v>
      </c>
      <c r="F164" s="32" t="e">
        <f t="shared" si="28"/>
        <v>#REF!</v>
      </c>
      <c r="G164" s="33" t="e">
        <f>'[1]B(근태)'!#REF!</f>
        <v>#REF!</v>
      </c>
      <c r="H164" s="32" t="e">
        <f t="shared" si="29"/>
        <v>#REF!</v>
      </c>
      <c r="I164" s="33"/>
      <c r="J164" s="32">
        <f t="shared" si="32"/>
        <v>0</v>
      </c>
      <c r="K164" s="33" t="e">
        <f>'[1]B(근태)'!#REF!</f>
        <v>#REF!</v>
      </c>
      <c r="L164" s="32" t="e">
        <f t="shared" si="30"/>
        <v>#REF!</v>
      </c>
      <c r="M164" s="33" t="e">
        <f>'[1]B(근태)'!#REF!</f>
        <v>#REF!</v>
      </c>
      <c r="N164" s="32" t="e">
        <f t="shared" si="26"/>
        <v>#REF!</v>
      </c>
      <c r="O164" s="32"/>
      <c r="P164" s="63"/>
      <c r="Q164" s="37" t="e">
        <f t="shared" si="31"/>
        <v>#REF!</v>
      </c>
      <c r="R164" s="58" t="e">
        <f t="shared" si="33"/>
        <v>#REF!</v>
      </c>
      <c r="S164" s="58" t="e">
        <f t="shared" si="34"/>
        <v>#REF!</v>
      </c>
      <c r="T164" s="60" t="e">
        <f t="shared" ref="T164:T174" si="36">SUM(R164:S164)</f>
        <v>#REF!</v>
      </c>
      <c r="U164" s="61" t="e">
        <f t="shared" si="35"/>
        <v>#REF!</v>
      </c>
    </row>
    <row r="165" spans="2:21" s="28" customFormat="1" ht="17.25" hidden="1" thickBot="1">
      <c r="B165" s="29">
        <v>162</v>
      </c>
      <c r="C165" s="29" t="e">
        <f>'[1]B(근태)'!#REF!</f>
        <v>#REF!</v>
      </c>
      <c r="D165" s="30"/>
      <c r="E165" s="31" t="e">
        <f>'[1]B(근태)'!#REF!</f>
        <v>#REF!</v>
      </c>
      <c r="F165" s="32" t="e">
        <f t="shared" si="28"/>
        <v>#REF!</v>
      </c>
      <c r="G165" s="33" t="e">
        <f>'[1]B(근태)'!#REF!</f>
        <v>#REF!</v>
      </c>
      <c r="H165" s="32" t="e">
        <f t="shared" si="29"/>
        <v>#REF!</v>
      </c>
      <c r="I165" s="33"/>
      <c r="J165" s="32">
        <f t="shared" si="32"/>
        <v>0</v>
      </c>
      <c r="K165" s="33" t="e">
        <f>'[1]B(근태)'!#REF!</f>
        <v>#REF!</v>
      </c>
      <c r="L165" s="32" t="e">
        <f t="shared" si="30"/>
        <v>#REF!</v>
      </c>
      <c r="M165" s="33" t="e">
        <f>'[1]B(근태)'!#REF!</f>
        <v>#REF!</v>
      </c>
      <c r="N165" s="32" t="e">
        <f t="shared" ref="N165:N174" si="37">M165*D165*2</f>
        <v>#REF!</v>
      </c>
      <c r="O165" s="32"/>
      <c r="P165" s="63"/>
      <c r="Q165" s="37" t="e">
        <f t="shared" si="31"/>
        <v>#REF!</v>
      </c>
      <c r="R165" s="58" t="e">
        <f t="shared" si="33"/>
        <v>#REF!</v>
      </c>
      <c r="S165" s="58" t="e">
        <f t="shared" si="34"/>
        <v>#REF!</v>
      </c>
      <c r="T165" s="60" t="e">
        <f t="shared" si="36"/>
        <v>#REF!</v>
      </c>
      <c r="U165" s="61" t="e">
        <f t="shared" si="35"/>
        <v>#REF!</v>
      </c>
    </row>
    <row r="166" spans="2:21" s="28" customFormat="1" ht="17.25" hidden="1" thickBot="1">
      <c r="B166" s="29">
        <v>163</v>
      </c>
      <c r="C166" s="29" t="e">
        <f>'[1]B(근태)'!#REF!</f>
        <v>#REF!</v>
      </c>
      <c r="D166" s="30"/>
      <c r="E166" s="31" t="e">
        <f>'[1]B(근태)'!#REF!</f>
        <v>#REF!</v>
      </c>
      <c r="F166" s="32" t="e">
        <f t="shared" si="28"/>
        <v>#REF!</v>
      </c>
      <c r="G166" s="33" t="e">
        <f>'[1]B(근태)'!#REF!</f>
        <v>#REF!</v>
      </c>
      <c r="H166" s="32" t="e">
        <f t="shared" si="29"/>
        <v>#REF!</v>
      </c>
      <c r="I166" s="33"/>
      <c r="J166" s="32">
        <f t="shared" si="32"/>
        <v>0</v>
      </c>
      <c r="K166" s="33" t="e">
        <f>'[1]B(근태)'!#REF!</f>
        <v>#REF!</v>
      </c>
      <c r="L166" s="32" t="e">
        <f t="shared" si="30"/>
        <v>#REF!</v>
      </c>
      <c r="M166" s="33" t="e">
        <f>'[1]B(근태)'!#REF!</f>
        <v>#REF!</v>
      </c>
      <c r="N166" s="32" t="e">
        <f t="shared" si="37"/>
        <v>#REF!</v>
      </c>
      <c r="O166" s="32"/>
      <c r="P166" s="63"/>
      <c r="Q166" s="37" t="e">
        <f t="shared" si="31"/>
        <v>#REF!</v>
      </c>
      <c r="R166" s="58" t="e">
        <f t="shared" si="33"/>
        <v>#REF!</v>
      </c>
      <c r="S166" s="58" t="e">
        <f t="shared" si="34"/>
        <v>#REF!</v>
      </c>
      <c r="T166" s="60" t="e">
        <f t="shared" si="36"/>
        <v>#REF!</v>
      </c>
      <c r="U166" s="61" t="e">
        <f t="shared" si="35"/>
        <v>#REF!</v>
      </c>
    </row>
    <row r="167" spans="2:21" s="28" customFormat="1" ht="17.25" hidden="1" thickBot="1">
      <c r="B167" s="29">
        <v>164</v>
      </c>
      <c r="C167" s="29" t="e">
        <f>'[1]B(근태)'!#REF!</f>
        <v>#REF!</v>
      </c>
      <c r="D167" s="30"/>
      <c r="E167" s="31" t="e">
        <f>'[1]B(근태)'!#REF!</f>
        <v>#REF!</v>
      </c>
      <c r="F167" s="32" t="e">
        <f t="shared" si="28"/>
        <v>#REF!</v>
      </c>
      <c r="G167" s="33" t="e">
        <f>'[1]B(근태)'!#REF!</f>
        <v>#REF!</v>
      </c>
      <c r="H167" s="32" t="e">
        <f t="shared" si="29"/>
        <v>#REF!</v>
      </c>
      <c r="I167" s="33"/>
      <c r="J167" s="32">
        <f t="shared" si="32"/>
        <v>0</v>
      </c>
      <c r="K167" s="33" t="e">
        <f>'[1]B(근태)'!#REF!</f>
        <v>#REF!</v>
      </c>
      <c r="L167" s="32" t="e">
        <f t="shared" si="30"/>
        <v>#REF!</v>
      </c>
      <c r="M167" s="33" t="e">
        <f>'[1]B(근태)'!#REF!</f>
        <v>#REF!</v>
      </c>
      <c r="N167" s="32" t="e">
        <f t="shared" si="37"/>
        <v>#REF!</v>
      </c>
      <c r="O167" s="32"/>
      <c r="P167" s="63"/>
      <c r="Q167" s="37" t="e">
        <f t="shared" si="31"/>
        <v>#REF!</v>
      </c>
      <c r="R167" s="58" t="e">
        <f t="shared" si="33"/>
        <v>#REF!</v>
      </c>
      <c r="S167" s="58" t="e">
        <f t="shared" si="34"/>
        <v>#REF!</v>
      </c>
      <c r="T167" s="60" t="e">
        <f t="shared" si="36"/>
        <v>#REF!</v>
      </c>
      <c r="U167" s="61" t="e">
        <f t="shared" si="35"/>
        <v>#REF!</v>
      </c>
    </row>
    <row r="168" spans="2:21" s="28" customFormat="1" ht="17.25" hidden="1" thickBot="1">
      <c r="B168" s="29">
        <v>165</v>
      </c>
      <c r="C168" s="29" t="e">
        <f>'[1]B(근태)'!#REF!</f>
        <v>#REF!</v>
      </c>
      <c r="D168" s="30"/>
      <c r="E168" s="31" t="e">
        <f>'[1]B(근태)'!#REF!</f>
        <v>#REF!</v>
      </c>
      <c r="F168" s="32" t="e">
        <f t="shared" ref="F168:F174" si="38">E168*D168</f>
        <v>#REF!</v>
      </c>
      <c r="G168" s="33" t="e">
        <f>'[1]B(근태)'!#REF!</f>
        <v>#REF!</v>
      </c>
      <c r="H168" s="32" t="e">
        <f t="shared" si="29"/>
        <v>#REF!</v>
      </c>
      <c r="I168" s="33"/>
      <c r="J168" s="32">
        <f t="shared" si="32"/>
        <v>0</v>
      </c>
      <c r="K168" s="33" t="e">
        <f>'[1]B(근태)'!#REF!</f>
        <v>#REF!</v>
      </c>
      <c r="L168" s="32" t="e">
        <f t="shared" si="30"/>
        <v>#REF!</v>
      </c>
      <c r="M168" s="33" t="e">
        <f>'[1]B(근태)'!#REF!</f>
        <v>#REF!</v>
      </c>
      <c r="N168" s="32" t="e">
        <f t="shared" si="37"/>
        <v>#REF!</v>
      </c>
      <c r="O168" s="32"/>
      <c r="P168" s="63"/>
      <c r="Q168" s="37" t="e">
        <f t="shared" si="31"/>
        <v>#REF!</v>
      </c>
      <c r="R168" s="58" t="e">
        <f t="shared" si="33"/>
        <v>#REF!</v>
      </c>
      <c r="S168" s="58" t="e">
        <f t="shared" si="34"/>
        <v>#REF!</v>
      </c>
      <c r="T168" s="60" t="e">
        <f t="shared" si="36"/>
        <v>#REF!</v>
      </c>
      <c r="U168" s="61" t="e">
        <f t="shared" si="35"/>
        <v>#REF!</v>
      </c>
    </row>
    <row r="169" spans="2:21" s="28" customFormat="1" ht="17.25" hidden="1" thickBot="1">
      <c r="B169" s="29">
        <v>166</v>
      </c>
      <c r="C169" s="29" t="e">
        <f>'[1]B(근태)'!#REF!</f>
        <v>#REF!</v>
      </c>
      <c r="D169" s="30"/>
      <c r="E169" s="31" t="e">
        <f>'[1]B(근태)'!#REF!</f>
        <v>#REF!</v>
      </c>
      <c r="F169" s="32" t="e">
        <f t="shared" si="38"/>
        <v>#REF!</v>
      </c>
      <c r="G169" s="33" t="e">
        <f>'[1]B(근태)'!#REF!</f>
        <v>#REF!</v>
      </c>
      <c r="H169" s="32" t="e">
        <f t="shared" si="29"/>
        <v>#REF!</v>
      </c>
      <c r="I169" s="33"/>
      <c r="J169" s="32">
        <f t="shared" si="32"/>
        <v>0</v>
      </c>
      <c r="K169" s="33" t="e">
        <f>'[1]B(근태)'!#REF!</f>
        <v>#REF!</v>
      </c>
      <c r="L169" s="32" t="e">
        <f t="shared" si="30"/>
        <v>#REF!</v>
      </c>
      <c r="M169" s="33" t="e">
        <f>'[1]B(근태)'!#REF!</f>
        <v>#REF!</v>
      </c>
      <c r="N169" s="32" t="e">
        <f t="shared" si="37"/>
        <v>#REF!</v>
      </c>
      <c r="O169" s="32"/>
      <c r="P169" s="63"/>
      <c r="Q169" s="37" t="e">
        <f t="shared" si="31"/>
        <v>#REF!</v>
      </c>
      <c r="R169" s="58" t="e">
        <f t="shared" si="33"/>
        <v>#REF!</v>
      </c>
      <c r="S169" s="58" t="e">
        <f t="shared" si="34"/>
        <v>#REF!</v>
      </c>
      <c r="T169" s="60" t="e">
        <f t="shared" si="36"/>
        <v>#REF!</v>
      </c>
      <c r="U169" s="61" t="e">
        <f t="shared" si="35"/>
        <v>#REF!</v>
      </c>
    </row>
    <row r="170" spans="2:21" s="28" customFormat="1" ht="17.25" hidden="1" thickBot="1">
      <c r="B170" s="29">
        <v>167</v>
      </c>
      <c r="C170" s="29" t="e">
        <f>'[1]B(근태)'!#REF!</f>
        <v>#REF!</v>
      </c>
      <c r="D170" s="30"/>
      <c r="E170" s="31" t="e">
        <f>'[1]B(근태)'!#REF!</f>
        <v>#REF!</v>
      </c>
      <c r="F170" s="32" t="e">
        <f t="shared" si="38"/>
        <v>#REF!</v>
      </c>
      <c r="G170" s="33" t="e">
        <f>'[1]B(근태)'!#REF!</f>
        <v>#REF!</v>
      </c>
      <c r="H170" s="32" t="e">
        <f t="shared" si="29"/>
        <v>#REF!</v>
      </c>
      <c r="I170" s="33"/>
      <c r="J170" s="32">
        <f t="shared" si="32"/>
        <v>0</v>
      </c>
      <c r="K170" s="33" t="e">
        <f>'[1]B(근태)'!#REF!</f>
        <v>#REF!</v>
      </c>
      <c r="L170" s="32" t="e">
        <f t="shared" si="30"/>
        <v>#REF!</v>
      </c>
      <c r="M170" s="33" t="e">
        <f>'[1]B(근태)'!#REF!</f>
        <v>#REF!</v>
      </c>
      <c r="N170" s="32" t="e">
        <f t="shared" si="37"/>
        <v>#REF!</v>
      </c>
      <c r="O170" s="32"/>
      <c r="P170" s="63"/>
      <c r="Q170" s="37" t="e">
        <f t="shared" si="31"/>
        <v>#REF!</v>
      </c>
      <c r="R170" s="58" t="e">
        <f t="shared" si="33"/>
        <v>#REF!</v>
      </c>
      <c r="S170" s="58" t="e">
        <f t="shared" si="34"/>
        <v>#REF!</v>
      </c>
      <c r="T170" s="60" t="e">
        <f t="shared" si="36"/>
        <v>#REF!</v>
      </c>
      <c r="U170" s="61" t="e">
        <f t="shared" si="35"/>
        <v>#REF!</v>
      </c>
    </row>
    <row r="171" spans="2:21" s="28" customFormat="1" ht="17.25" hidden="1" thickBot="1">
      <c r="B171" s="29">
        <v>168</v>
      </c>
      <c r="C171" s="29" t="e">
        <f>'[1]B(근태)'!#REF!</f>
        <v>#REF!</v>
      </c>
      <c r="D171" s="30"/>
      <c r="E171" s="31" t="e">
        <f>'[1]B(근태)'!#REF!</f>
        <v>#REF!</v>
      </c>
      <c r="F171" s="32" t="e">
        <f t="shared" si="38"/>
        <v>#REF!</v>
      </c>
      <c r="G171" s="33" t="e">
        <f>'[1]B(근태)'!#REF!</f>
        <v>#REF!</v>
      </c>
      <c r="H171" s="32" t="e">
        <f t="shared" si="29"/>
        <v>#REF!</v>
      </c>
      <c r="I171" s="33"/>
      <c r="J171" s="32">
        <f t="shared" si="32"/>
        <v>0</v>
      </c>
      <c r="K171" s="33" t="e">
        <f>'[1]B(근태)'!#REF!</f>
        <v>#REF!</v>
      </c>
      <c r="L171" s="32" t="e">
        <f t="shared" si="30"/>
        <v>#REF!</v>
      </c>
      <c r="M171" s="33" t="e">
        <f>'[1]B(근태)'!#REF!</f>
        <v>#REF!</v>
      </c>
      <c r="N171" s="32" t="e">
        <f t="shared" si="37"/>
        <v>#REF!</v>
      </c>
      <c r="O171" s="32"/>
      <c r="P171" s="63"/>
      <c r="Q171" s="37" t="e">
        <f t="shared" si="31"/>
        <v>#REF!</v>
      </c>
      <c r="R171" s="58" t="e">
        <f t="shared" si="33"/>
        <v>#REF!</v>
      </c>
      <c r="S171" s="58" t="e">
        <f t="shared" si="34"/>
        <v>#REF!</v>
      </c>
      <c r="T171" s="60" t="e">
        <f t="shared" si="36"/>
        <v>#REF!</v>
      </c>
      <c r="U171" s="61" t="e">
        <f t="shared" si="35"/>
        <v>#REF!</v>
      </c>
    </row>
    <row r="172" spans="2:21" s="28" customFormat="1" ht="17.25" hidden="1" thickBot="1">
      <c r="B172" s="29">
        <v>169</v>
      </c>
      <c r="C172" s="29" t="e">
        <f>'[1]B(근태)'!#REF!</f>
        <v>#REF!</v>
      </c>
      <c r="D172" s="30"/>
      <c r="E172" s="31" t="e">
        <f>'[1]B(근태)'!#REF!</f>
        <v>#REF!</v>
      </c>
      <c r="F172" s="32" t="e">
        <f t="shared" si="38"/>
        <v>#REF!</v>
      </c>
      <c r="G172" s="33" t="e">
        <f>'[1]B(근태)'!#REF!</f>
        <v>#REF!</v>
      </c>
      <c r="H172" s="32" t="e">
        <f t="shared" si="29"/>
        <v>#REF!</v>
      </c>
      <c r="I172" s="33"/>
      <c r="J172" s="32">
        <f t="shared" si="32"/>
        <v>0</v>
      </c>
      <c r="K172" s="33" t="e">
        <f>'[1]B(근태)'!#REF!</f>
        <v>#REF!</v>
      </c>
      <c r="L172" s="32" t="e">
        <f t="shared" si="30"/>
        <v>#REF!</v>
      </c>
      <c r="M172" s="33" t="e">
        <f>'[1]B(근태)'!#REF!</f>
        <v>#REF!</v>
      </c>
      <c r="N172" s="32" t="e">
        <f t="shared" si="37"/>
        <v>#REF!</v>
      </c>
      <c r="O172" s="32"/>
      <c r="P172" s="63"/>
      <c r="Q172" s="37" t="e">
        <f t="shared" si="31"/>
        <v>#REF!</v>
      </c>
      <c r="R172" s="58" t="e">
        <f t="shared" si="33"/>
        <v>#REF!</v>
      </c>
      <c r="S172" s="58" t="e">
        <f t="shared" si="34"/>
        <v>#REF!</v>
      </c>
      <c r="T172" s="60" t="e">
        <f t="shared" si="36"/>
        <v>#REF!</v>
      </c>
      <c r="U172" s="61" t="e">
        <f t="shared" si="35"/>
        <v>#REF!</v>
      </c>
    </row>
    <row r="173" spans="2:21" s="28" customFormat="1" ht="17.25" hidden="1" thickBot="1">
      <c r="B173" s="29">
        <v>170</v>
      </c>
      <c r="C173" s="29" t="e">
        <f>'[1]B(근태)'!#REF!</f>
        <v>#REF!</v>
      </c>
      <c r="D173" s="30"/>
      <c r="E173" s="31" t="e">
        <f>'[1]B(근태)'!#REF!</f>
        <v>#REF!</v>
      </c>
      <c r="F173" s="32" t="e">
        <f t="shared" si="38"/>
        <v>#REF!</v>
      </c>
      <c r="G173" s="33" t="e">
        <f>'[1]B(근태)'!#REF!</f>
        <v>#REF!</v>
      </c>
      <c r="H173" s="32" t="e">
        <f t="shared" si="29"/>
        <v>#REF!</v>
      </c>
      <c r="I173" s="33"/>
      <c r="J173" s="32">
        <f t="shared" si="32"/>
        <v>0</v>
      </c>
      <c r="K173" s="33" t="e">
        <f>'[1]B(근태)'!#REF!</f>
        <v>#REF!</v>
      </c>
      <c r="L173" s="32" t="e">
        <f t="shared" si="30"/>
        <v>#REF!</v>
      </c>
      <c r="M173" s="33" t="e">
        <f>'[1]B(근태)'!#REF!</f>
        <v>#REF!</v>
      </c>
      <c r="N173" s="32" t="e">
        <f t="shared" si="37"/>
        <v>#REF!</v>
      </c>
      <c r="O173" s="32"/>
      <c r="P173" s="63"/>
      <c r="Q173" s="37" t="e">
        <f t="shared" si="31"/>
        <v>#REF!</v>
      </c>
      <c r="R173" s="58" t="e">
        <f t="shared" si="33"/>
        <v>#REF!</v>
      </c>
      <c r="S173" s="58" t="e">
        <f t="shared" si="34"/>
        <v>#REF!</v>
      </c>
      <c r="T173" s="60" t="e">
        <f t="shared" si="36"/>
        <v>#REF!</v>
      </c>
      <c r="U173" s="61" t="e">
        <f t="shared" si="35"/>
        <v>#REF!</v>
      </c>
    </row>
    <row r="174" spans="2:21" s="28" customFormat="1" ht="17.25" hidden="1" thickBot="1">
      <c r="B174" s="65">
        <v>171</v>
      </c>
      <c r="C174" s="65" t="e">
        <f>'[1]B(근태)'!#REF!</f>
        <v>#REF!</v>
      </c>
      <c r="D174" s="66"/>
      <c r="E174" s="67" t="e">
        <f>'[1]B(근태)'!#REF!</f>
        <v>#REF!</v>
      </c>
      <c r="F174" s="68" t="e">
        <f t="shared" si="38"/>
        <v>#REF!</v>
      </c>
      <c r="G174" s="69" t="e">
        <f>'[1]B(근태)'!#REF!</f>
        <v>#REF!</v>
      </c>
      <c r="H174" s="68" t="e">
        <f t="shared" si="29"/>
        <v>#REF!</v>
      </c>
      <c r="I174" s="69"/>
      <c r="J174" s="68">
        <f t="shared" si="32"/>
        <v>0</v>
      </c>
      <c r="K174" s="69" t="e">
        <f>'[1]B(근태)'!#REF!</f>
        <v>#REF!</v>
      </c>
      <c r="L174" s="68" t="e">
        <f t="shared" si="30"/>
        <v>#REF!</v>
      </c>
      <c r="M174" s="69" t="e">
        <f>'[1]B(근태)'!#REF!</f>
        <v>#REF!</v>
      </c>
      <c r="N174" s="68" t="e">
        <f t="shared" si="37"/>
        <v>#REF!</v>
      </c>
      <c r="O174" s="68"/>
      <c r="P174" s="70"/>
      <c r="Q174" s="71" t="e">
        <f t="shared" si="31"/>
        <v>#REF!</v>
      </c>
      <c r="R174" s="72" t="e">
        <f t="shared" si="33"/>
        <v>#REF!</v>
      </c>
      <c r="S174" s="72" t="e">
        <f t="shared" si="34"/>
        <v>#REF!</v>
      </c>
      <c r="T174" s="73" t="e">
        <f t="shared" si="36"/>
        <v>#REF!</v>
      </c>
      <c r="U174" s="61" t="e">
        <f t="shared" si="35"/>
        <v>#REF!</v>
      </c>
    </row>
    <row r="175" spans="2:21" s="74" customFormat="1" ht="30" customHeight="1" thickBot="1">
      <c r="B175" s="125"/>
      <c r="C175" s="126"/>
      <c r="D175" s="126"/>
      <c r="E175" s="75">
        <f t="shared" ref="E175:U175" si="39">SUM(E5:E90)</f>
        <v>12137</v>
      </c>
      <c r="F175" s="76">
        <f t="shared" si="39"/>
        <v>125253840</v>
      </c>
      <c r="G175" s="76">
        <f t="shared" si="39"/>
        <v>639</v>
      </c>
      <c r="H175" s="76">
        <f t="shared" si="39"/>
        <v>9891720</v>
      </c>
      <c r="I175" s="76">
        <f t="shared" si="39"/>
        <v>1450</v>
      </c>
      <c r="J175" s="76">
        <f t="shared" si="39"/>
        <v>22446000</v>
      </c>
      <c r="K175" s="76">
        <f t="shared" si="39"/>
        <v>306</v>
      </c>
      <c r="L175" s="76">
        <f t="shared" si="39"/>
        <v>4736880</v>
      </c>
      <c r="M175" s="76">
        <f t="shared" si="39"/>
        <v>0</v>
      </c>
      <c r="N175" s="76">
        <f t="shared" si="39"/>
        <v>0</v>
      </c>
      <c r="O175" s="76">
        <f t="shared" si="39"/>
        <v>982000</v>
      </c>
      <c r="P175" s="76">
        <f t="shared" si="39"/>
        <v>2064000</v>
      </c>
      <c r="Q175" s="76">
        <f t="shared" si="39"/>
        <v>165374440</v>
      </c>
      <c r="R175" s="76">
        <f t="shared" si="39"/>
        <v>13229955.200000005</v>
      </c>
      <c r="S175" s="76">
        <f t="shared" si="39"/>
        <v>4961233.1999999983</v>
      </c>
      <c r="T175" s="76">
        <f t="shared" si="39"/>
        <v>18191188.400000013</v>
      </c>
      <c r="U175" s="77">
        <f t="shared" si="39"/>
        <v>183566120</v>
      </c>
    </row>
    <row r="176" spans="2:21" s="74" customFormat="1" ht="30" customHeight="1" thickBot="1">
      <c r="B176" s="78"/>
      <c r="C176" s="78"/>
      <c r="D176" s="78"/>
      <c r="E176" s="79"/>
      <c r="F176" s="79"/>
      <c r="G176" s="79"/>
      <c r="H176" s="79"/>
      <c r="I176" s="79"/>
      <c r="J176" s="79"/>
      <c r="K176" s="79"/>
      <c r="L176" s="79"/>
      <c r="M176" s="79"/>
      <c r="N176" s="79"/>
      <c r="O176" s="79"/>
      <c r="P176" s="79"/>
      <c r="R176" s="80"/>
      <c r="S176" s="80"/>
      <c r="T176" s="80"/>
      <c r="U176" s="80"/>
    </row>
    <row r="177" spans="2:21" s="25" customFormat="1" ht="23.25" customHeight="1">
      <c r="B177" s="28"/>
      <c r="C177" s="81"/>
      <c r="D177" s="82">
        <f>SUM(F177,H177,J177,L177,N177)</f>
        <v>0</v>
      </c>
      <c r="E177" s="83">
        <f>SUM(E134:E150)</f>
        <v>0</v>
      </c>
      <c r="F177" s="83">
        <f t="shared" ref="F177:P177" si="40">SUM(F134:F150)</f>
        <v>0</v>
      </c>
      <c r="G177" s="83">
        <f t="shared" si="40"/>
        <v>0</v>
      </c>
      <c r="H177" s="83">
        <f t="shared" si="40"/>
        <v>0</v>
      </c>
      <c r="I177" s="83">
        <f t="shared" si="40"/>
        <v>0</v>
      </c>
      <c r="J177" s="83">
        <f t="shared" si="40"/>
        <v>0</v>
      </c>
      <c r="K177" s="83">
        <f t="shared" si="40"/>
        <v>0</v>
      </c>
      <c r="L177" s="83">
        <f t="shared" si="40"/>
        <v>0</v>
      </c>
      <c r="M177" s="83">
        <f t="shared" si="40"/>
        <v>0</v>
      </c>
      <c r="N177" s="83">
        <f t="shared" si="40"/>
        <v>0</v>
      </c>
      <c r="O177" s="84"/>
      <c r="P177" s="83">
        <f t="shared" si="40"/>
        <v>0</v>
      </c>
      <c r="Q177" s="85"/>
      <c r="R177" s="86"/>
      <c r="S177" s="28"/>
      <c r="T177" s="87" t="s">
        <v>33</v>
      </c>
      <c r="U177" s="88">
        <f>U175</f>
        <v>183566120</v>
      </c>
    </row>
    <row r="178" spans="2:21" s="25" customFormat="1" ht="23.25" customHeight="1">
      <c r="B178" s="28"/>
      <c r="C178" s="81"/>
      <c r="D178" s="82">
        <f>SUM(D177:D177)</f>
        <v>0</v>
      </c>
      <c r="E178" s="89"/>
      <c r="F178" s="90"/>
      <c r="G178" s="89"/>
      <c r="H178" s="90"/>
      <c r="I178" s="89"/>
      <c r="J178" s="91"/>
      <c r="K178" s="91"/>
      <c r="L178" s="91"/>
      <c r="M178" s="90"/>
      <c r="N178" s="90"/>
      <c r="O178" s="92"/>
      <c r="P178" s="90"/>
      <c r="Q178" s="92"/>
      <c r="R178" s="86"/>
      <c r="S178" s="28"/>
      <c r="T178" s="93" t="s">
        <v>34</v>
      </c>
      <c r="U178" s="94">
        <f>U177*0.1</f>
        <v>18356612</v>
      </c>
    </row>
    <row r="179" spans="2:21" s="25" customFormat="1" ht="23.25" customHeight="1" thickBot="1">
      <c r="B179" s="28"/>
      <c r="C179" s="28"/>
      <c r="D179" s="95"/>
      <c r="E179" s="96"/>
      <c r="F179" s="97"/>
      <c r="G179" s="96"/>
      <c r="H179" s="97"/>
      <c r="I179" s="98"/>
      <c r="J179" s="97"/>
      <c r="K179" s="97"/>
      <c r="L179" s="97"/>
      <c r="M179" s="97"/>
      <c r="N179" s="97"/>
      <c r="O179" s="97"/>
      <c r="P179" s="97"/>
      <c r="Q179" s="97">
        <f>Q175-Q178</f>
        <v>165374440</v>
      </c>
      <c r="R179" s="86"/>
      <c r="S179" s="28"/>
      <c r="T179" s="99" t="s">
        <v>35</v>
      </c>
      <c r="U179" s="100">
        <f>SUM(U177:U178)</f>
        <v>201922732</v>
      </c>
    </row>
    <row r="180" spans="2:21" ht="23.25" customHeight="1">
      <c r="B180" s="28"/>
      <c r="C180" s="28"/>
      <c r="D180" s="95"/>
      <c r="E180" s="96"/>
      <c r="F180" s="97"/>
      <c r="G180" s="96"/>
      <c r="H180" s="97"/>
      <c r="I180" s="98"/>
      <c r="J180" s="97"/>
      <c r="K180" s="97"/>
      <c r="L180" s="97"/>
      <c r="M180" s="97"/>
      <c r="N180" s="97"/>
      <c r="O180" s="97"/>
      <c r="P180" s="97"/>
      <c r="Q180" s="101"/>
      <c r="R180" s="102"/>
      <c r="S180" s="102"/>
    </row>
    <row r="181" spans="2:21" ht="23.25" customHeight="1">
      <c r="B181" s="28"/>
      <c r="C181" s="28"/>
      <c r="D181" s="95"/>
      <c r="E181" s="96"/>
      <c r="F181" s="97"/>
      <c r="G181" s="96"/>
      <c r="H181" s="97"/>
      <c r="I181" s="96"/>
      <c r="J181" s="97"/>
      <c r="K181" s="97"/>
      <c r="L181" s="97"/>
      <c r="M181" s="97"/>
      <c r="N181" s="97"/>
      <c r="O181" s="97"/>
      <c r="P181" s="97"/>
      <c r="Q181" s="101"/>
      <c r="R181" s="102"/>
      <c r="S181" s="102"/>
    </row>
    <row r="182" spans="2:21" ht="23.25" customHeight="1">
      <c r="B182" s="28"/>
      <c r="C182" s="28"/>
      <c r="D182" s="97"/>
      <c r="E182" s="96"/>
      <c r="F182" s="97"/>
      <c r="G182" s="96"/>
      <c r="H182" s="97"/>
      <c r="I182" s="96"/>
      <c r="J182" s="97"/>
      <c r="K182" s="97"/>
      <c r="L182" s="97"/>
      <c r="M182" s="97"/>
      <c r="N182" s="97"/>
      <c r="O182" s="97"/>
      <c r="P182" s="97"/>
      <c r="Q182" s="97"/>
      <c r="R182" s="102"/>
      <c r="S182" s="102"/>
    </row>
    <row r="183" spans="2:21" ht="23.25" customHeight="1">
      <c r="B183" s="28"/>
      <c r="C183" s="28"/>
      <c r="D183" s="104"/>
      <c r="E183" s="28"/>
      <c r="F183" s="104"/>
      <c r="G183" s="28"/>
      <c r="H183" s="104"/>
      <c r="I183" s="28"/>
      <c r="J183" s="104"/>
      <c r="K183" s="104"/>
      <c r="L183" s="104"/>
      <c r="M183" s="104"/>
      <c r="N183" s="104"/>
      <c r="O183" s="104"/>
      <c r="P183" s="104"/>
      <c r="Q183" s="104"/>
      <c r="R183" s="102"/>
      <c r="S183" s="102"/>
    </row>
    <row r="184" spans="2:21" ht="23.25" customHeight="1">
      <c r="B184" s="28"/>
      <c r="C184" s="28"/>
      <c r="D184" s="104"/>
      <c r="E184" s="28"/>
      <c r="F184" s="104"/>
      <c r="G184" s="28"/>
      <c r="H184" s="104"/>
      <c r="I184" s="28"/>
      <c r="J184" s="104"/>
      <c r="K184" s="104"/>
      <c r="L184" s="104"/>
      <c r="M184" s="104"/>
      <c r="N184" s="104"/>
      <c r="O184" s="104"/>
      <c r="P184" s="104"/>
      <c r="Q184" s="104"/>
      <c r="R184" s="102"/>
      <c r="S184" s="102"/>
    </row>
    <row r="185" spans="2:21" ht="23.25" customHeight="1">
      <c r="B185" s="28"/>
      <c r="C185" s="28"/>
      <c r="D185" s="104"/>
      <c r="E185" s="28"/>
      <c r="F185" s="104"/>
      <c r="G185" s="28"/>
      <c r="H185" s="104"/>
      <c r="I185" s="28"/>
      <c r="J185" s="104"/>
      <c r="K185" s="104"/>
      <c r="L185" s="104"/>
      <c r="M185" s="104"/>
      <c r="N185" s="104"/>
      <c r="O185" s="104"/>
      <c r="P185" s="104"/>
      <c r="Q185" s="104"/>
      <c r="R185" s="102"/>
      <c r="S185" s="102"/>
    </row>
    <row r="186" spans="2:21" ht="23.25" customHeight="1">
      <c r="C186" s="28"/>
      <c r="D186" s="104"/>
      <c r="E186" s="28"/>
      <c r="F186" s="104"/>
      <c r="G186" s="28"/>
      <c r="H186" s="104"/>
      <c r="I186" s="28"/>
      <c r="J186" s="104"/>
      <c r="K186" s="104"/>
      <c r="L186" s="104"/>
      <c r="M186" s="104"/>
      <c r="N186" s="104"/>
      <c r="O186" s="104"/>
      <c r="P186" s="104"/>
      <c r="Q186" s="104"/>
    </row>
    <row r="187" spans="2:21" ht="23.25" customHeight="1">
      <c r="C187" s="28"/>
      <c r="D187" s="104"/>
      <c r="E187" s="28"/>
      <c r="F187" s="104"/>
      <c r="G187" s="28"/>
      <c r="H187" s="104"/>
      <c r="I187" s="28"/>
      <c r="J187" s="104"/>
      <c r="K187" s="104"/>
      <c r="L187" s="104"/>
      <c r="M187" s="104"/>
      <c r="N187" s="104"/>
      <c r="O187" s="104"/>
      <c r="P187" s="104"/>
      <c r="Q187" s="104"/>
    </row>
    <row r="188" spans="2:21" ht="23.25" customHeight="1">
      <c r="C188" s="28"/>
      <c r="D188" s="104"/>
      <c r="E188" s="28"/>
      <c r="F188" s="104"/>
      <c r="G188" s="28"/>
      <c r="H188" s="104"/>
      <c r="I188" s="28"/>
      <c r="J188" s="104"/>
      <c r="K188" s="104"/>
      <c r="L188" s="104"/>
      <c r="M188" s="104"/>
      <c r="N188" s="104"/>
      <c r="O188" s="104"/>
      <c r="P188" s="104"/>
      <c r="Q188" s="104"/>
    </row>
    <row r="189" spans="2:21" ht="23.25" customHeight="1">
      <c r="C189" s="28"/>
      <c r="D189" s="104"/>
      <c r="E189" s="28"/>
      <c r="F189" s="104"/>
      <c r="G189" s="28"/>
      <c r="H189" s="104"/>
      <c r="I189" s="28"/>
      <c r="J189" s="104"/>
      <c r="K189" s="104"/>
      <c r="L189" s="104"/>
      <c r="M189" s="104"/>
      <c r="N189" s="104"/>
      <c r="O189" s="104"/>
      <c r="P189" s="104"/>
      <c r="Q189" s="104"/>
    </row>
    <row r="190" spans="2:21" ht="23.25" customHeight="1">
      <c r="C190" s="28"/>
      <c r="D190" s="104"/>
      <c r="E190" s="28"/>
      <c r="F190" s="104"/>
      <c r="G190" s="28"/>
      <c r="H190" s="104"/>
      <c r="I190" s="28"/>
      <c r="J190" s="104"/>
      <c r="K190" s="104"/>
      <c r="L190" s="104"/>
      <c r="M190" s="104"/>
      <c r="N190" s="104"/>
      <c r="O190" s="104"/>
      <c r="P190" s="104"/>
      <c r="Q190" s="104"/>
    </row>
    <row r="191" spans="2:21" ht="23.25" customHeight="1">
      <c r="C191" s="28"/>
      <c r="D191" s="104"/>
      <c r="E191" s="28"/>
      <c r="F191" s="104"/>
      <c r="G191" s="28"/>
      <c r="H191" s="104"/>
      <c r="I191" s="28"/>
      <c r="J191" s="104"/>
      <c r="K191" s="104"/>
      <c r="L191" s="104"/>
      <c r="M191" s="104"/>
      <c r="N191" s="104"/>
      <c r="O191" s="104"/>
      <c r="P191" s="104"/>
      <c r="Q191" s="104"/>
    </row>
    <row r="192" spans="2:21" ht="23.25" customHeight="1">
      <c r="C192" s="28"/>
      <c r="D192" s="104"/>
      <c r="E192" s="28"/>
      <c r="F192" s="104"/>
      <c r="G192" s="28"/>
      <c r="H192" s="104"/>
      <c r="I192" s="28"/>
      <c r="J192" s="104"/>
      <c r="K192" s="104"/>
      <c r="L192" s="104"/>
      <c r="M192" s="104"/>
      <c r="N192" s="104"/>
      <c r="O192" s="104"/>
      <c r="P192" s="104"/>
      <c r="Q192" s="104"/>
    </row>
    <row r="193" ht="23.25" customHeight="1"/>
  </sheetData>
  <mergeCells count="21">
    <mergeCell ref="B1:Q2"/>
    <mergeCell ref="R1:R2"/>
    <mergeCell ref="S1:S2"/>
    <mergeCell ref="T1:T2"/>
    <mergeCell ref="U1:U2"/>
    <mergeCell ref="R3:R4"/>
    <mergeCell ref="S3:S4"/>
    <mergeCell ref="T3:T4"/>
    <mergeCell ref="U3:U4"/>
    <mergeCell ref="B175:D175"/>
    <mergeCell ref="I3:J3"/>
    <mergeCell ref="K3:L3"/>
    <mergeCell ref="M3:N3"/>
    <mergeCell ref="O3:O4"/>
    <mergeCell ref="P3:P4"/>
    <mergeCell ref="Q3:Q4"/>
    <mergeCell ref="B3:B4"/>
    <mergeCell ref="C3:C4"/>
    <mergeCell ref="D3:D4"/>
    <mergeCell ref="E3:F3"/>
    <mergeCell ref="G3:H3"/>
  </mergeCells>
  <phoneticPr fontId="2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D(프리랜서_)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Hana1</dc:creator>
  <cp:lastModifiedBy>하나그룹</cp:lastModifiedBy>
  <cp:lastPrinted>2023-09-07T05:44:09Z</cp:lastPrinted>
  <dcterms:created xsi:type="dcterms:W3CDTF">2023-02-10T00:58:03Z</dcterms:created>
  <dcterms:modified xsi:type="dcterms:W3CDTF">2026-05-31T02:53:23Z</dcterms:modified>
</cp:coreProperties>
</file>