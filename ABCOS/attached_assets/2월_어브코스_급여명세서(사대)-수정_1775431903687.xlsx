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2026년도\2월\30일\급여명세서\"/>
    </mc:Choice>
  </mc:AlternateContent>
  <xr:revisionPtr revIDLastSave="0" documentId="13_ncr:1_{BBD06503-01D3-4149-895D-532D45CA26FC}" xr6:coauthVersionLast="47" xr6:coauthVersionMax="47" xr10:uidLastSave="{00000000-0000-0000-0000-000000000000}"/>
  <bookViews>
    <workbookView xWindow="-120" yWindow="-120" windowWidth="29040" windowHeight="15720" tabRatio="926" xr2:uid="{00000000-000D-0000-FFFF-FFFF00000000}"/>
  </bookViews>
  <sheets>
    <sheet name="겉지" sheetId="1" r:id="rId1"/>
    <sheet name="이영숙" sheetId="168" r:id="rId2"/>
    <sheet name="신향화" sheetId="166" r:id="rId3"/>
    <sheet name="강정희" sheetId="151" r:id="rId4"/>
    <sheet name="박미순" sheetId="139" r:id="rId5"/>
    <sheet name="이진희" sheetId="169" r:id="rId6"/>
    <sheet name="류경화" sheetId="138" r:id="rId7"/>
    <sheet name="임연숙" sheetId="170" r:id="rId8"/>
    <sheet name="선두녀" sheetId="167" r:id="rId9"/>
    <sheet name="김연아" sheetId="171" r:id="rId10"/>
    <sheet name="조행연" sheetId="172" r:id="rId11"/>
    <sheet name="김성경" sheetId="173" r:id="rId12"/>
  </sheets>
  <definedNames>
    <definedName name="Sheet1" localSheetId="11">#REF!</definedName>
    <definedName name="Sheet1" localSheetId="9">#REF!</definedName>
    <definedName name="Sheet1" localSheetId="8">#REF!</definedName>
    <definedName name="Sheet1" localSheetId="1">#REF!</definedName>
    <definedName name="Sheet1" localSheetId="5">#REF!</definedName>
    <definedName name="Sheet1" localSheetId="7">#REF!</definedName>
    <definedName name="Sheet1" localSheetId="10">#REF!</definedName>
    <definedName name="Sheet1">#REF!</definedName>
    <definedName name="직원계좌" localSheetId="11">#REF!</definedName>
    <definedName name="직원계좌" localSheetId="9">#REF!</definedName>
    <definedName name="직원계좌" localSheetId="8">#REF!</definedName>
    <definedName name="직원계좌" localSheetId="1">#REF!</definedName>
    <definedName name="직원계좌" localSheetId="5">#REF!</definedName>
    <definedName name="직원계좌" localSheetId="7">#REF!</definedName>
    <definedName name="직원계좌" localSheetId="10">#REF!</definedName>
    <definedName name="직원계좌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C3" i="1" l="1"/>
  <c r="B13" i="1"/>
  <c r="B12" i="1"/>
  <c r="B11" i="1"/>
  <c r="B10" i="1"/>
  <c r="B9" i="1"/>
  <c r="B8" i="1"/>
  <c r="B7" i="1"/>
  <c r="B6" i="1"/>
  <c r="B5" i="1"/>
  <c r="B4" i="1"/>
  <c r="B3" i="1"/>
  <c r="AI25" i="166" l="1"/>
  <c r="AI26" i="166"/>
  <c r="AI27" i="166"/>
  <c r="AI28" i="166"/>
  <c r="AI29" i="166"/>
  <c r="AI25" i="173"/>
  <c r="AI26" i="173"/>
  <c r="AI27" i="173"/>
  <c r="AI28" i="173"/>
  <c r="H8" i="173" s="1"/>
  <c r="K8" i="173" s="1"/>
  <c r="AI29" i="173"/>
  <c r="AI25" i="172"/>
  <c r="AI26" i="172"/>
  <c r="AI27" i="172"/>
  <c r="AI28" i="172"/>
  <c r="AI29" i="172"/>
  <c r="AI25" i="171"/>
  <c r="AI26" i="171"/>
  <c r="AI27" i="171"/>
  <c r="AI28" i="171"/>
  <c r="AI29" i="171"/>
  <c r="AI25" i="170"/>
  <c r="AI26" i="170"/>
  <c r="AI27" i="170"/>
  <c r="AI28" i="170"/>
  <c r="AI29" i="170"/>
  <c r="AI25" i="169"/>
  <c r="AI26" i="169"/>
  <c r="AI27" i="169"/>
  <c r="AI28" i="169"/>
  <c r="AI29" i="169"/>
  <c r="AI25" i="168"/>
  <c r="AI26" i="168"/>
  <c r="AI27" i="168"/>
  <c r="AI28" i="168"/>
  <c r="AI29" i="168"/>
  <c r="AI25" i="167"/>
  <c r="AI26" i="167"/>
  <c r="AI27" i="167"/>
  <c r="AI28" i="167"/>
  <c r="AI29" i="167"/>
  <c r="B25" i="173" l="1"/>
  <c r="H7" i="173"/>
  <c r="K7" i="173" s="1"/>
  <c r="H5" i="173"/>
  <c r="K5" i="173" s="1"/>
  <c r="H4" i="173"/>
  <c r="K4" i="173" s="1"/>
  <c r="B25" i="172"/>
  <c r="T9" i="172"/>
  <c r="K8" i="172"/>
  <c r="H17" i="173" l="1"/>
  <c r="T5" i="173" s="1"/>
  <c r="H4" i="172"/>
  <c r="K4" i="172" s="1"/>
  <c r="H5" i="172"/>
  <c r="K5" i="172" s="1"/>
  <c r="H7" i="172"/>
  <c r="K7" i="172" s="1"/>
  <c r="H9" i="173"/>
  <c r="H9" i="172"/>
  <c r="AI25" i="151"/>
  <c r="AI25" i="138"/>
  <c r="AI25" i="139"/>
  <c r="AI29" i="151"/>
  <c r="AI29" i="139"/>
  <c r="AI29" i="138"/>
  <c r="AI28" i="151"/>
  <c r="AI28" i="139"/>
  <c r="AI28" i="138"/>
  <c r="AI27" i="151"/>
  <c r="AI27" i="139"/>
  <c r="AI27" i="138"/>
  <c r="AI26" i="151"/>
  <c r="AI26" i="139"/>
  <c r="AI26" i="138"/>
  <c r="T7" i="173" l="1"/>
  <c r="T6" i="173"/>
  <c r="T16" i="173" s="1"/>
  <c r="T17" i="173" s="1"/>
  <c r="C13" i="1" s="1"/>
  <c r="C14" i="1" s="1"/>
  <c r="E14" i="1" s="1"/>
  <c r="H17" i="172"/>
  <c r="T7" i="172" l="1"/>
  <c r="T5" i="172"/>
  <c r="H5" i="171"/>
  <c r="K5" i="171" s="1"/>
  <c r="B25" i="171"/>
  <c r="T9" i="171"/>
  <c r="H9" i="171"/>
  <c r="K8" i="171"/>
  <c r="T6" i="172" l="1"/>
  <c r="T16" i="172" s="1"/>
  <c r="T17" i="172" s="1"/>
  <c r="H4" i="171"/>
  <c r="K4" i="171" s="1"/>
  <c r="H7" i="171"/>
  <c r="K7" i="171" s="1"/>
  <c r="H5" i="139"/>
  <c r="K5" i="139" s="1"/>
  <c r="H7" i="139"/>
  <c r="K7" i="139" s="1"/>
  <c r="H7" i="166"/>
  <c r="K7" i="166" s="1"/>
  <c r="H5" i="167"/>
  <c r="K5" i="167" s="1"/>
  <c r="H7" i="168"/>
  <c r="K7" i="168" s="1"/>
  <c r="H5" i="169"/>
  <c r="K5" i="169" s="1"/>
  <c r="H7" i="169"/>
  <c r="K7" i="169" s="1"/>
  <c r="H5" i="170"/>
  <c r="K5" i="170" s="1"/>
  <c r="H5" i="138"/>
  <c r="K5" i="138" s="1"/>
  <c r="H7" i="138"/>
  <c r="K7" i="138" s="1"/>
  <c r="H4" i="139"/>
  <c r="K4" i="139" s="1"/>
  <c r="H4" i="167"/>
  <c r="K4" i="167" s="1"/>
  <c r="H4" i="168"/>
  <c r="K4" i="168" s="1"/>
  <c r="H4" i="169"/>
  <c r="K4" i="169" s="1"/>
  <c r="H4" i="170"/>
  <c r="K4" i="170" s="1"/>
  <c r="H4" i="138"/>
  <c r="K4" i="138" s="1"/>
  <c r="H9" i="166"/>
  <c r="H5" i="166"/>
  <c r="K5" i="166" s="1"/>
  <c r="H4" i="166"/>
  <c r="K4" i="166" s="1"/>
  <c r="H9" i="167"/>
  <c r="H7" i="167"/>
  <c r="K7" i="167" s="1"/>
  <c r="H9" i="168"/>
  <c r="H5" i="168"/>
  <c r="K5" i="168" s="1"/>
  <c r="H9" i="169"/>
  <c r="H9" i="170"/>
  <c r="H7" i="170"/>
  <c r="K7" i="170" s="1"/>
  <c r="H9" i="138"/>
  <c r="K8" i="139"/>
  <c r="K8" i="166"/>
  <c r="K8" i="167"/>
  <c r="K8" i="168"/>
  <c r="K8" i="169"/>
  <c r="K8" i="170"/>
  <c r="K8" i="138"/>
  <c r="C12" i="1" l="1"/>
  <c r="E12" i="1" s="1"/>
  <c r="H17" i="171"/>
  <c r="B25" i="170"/>
  <c r="T9" i="170"/>
  <c r="B25" i="169"/>
  <c r="T9" i="169"/>
  <c r="T7" i="171" l="1"/>
  <c r="T5" i="171"/>
  <c r="T6" i="171" s="1"/>
  <c r="H17" i="169"/>
  <c r="T5" i="169" s="1"/>
  <c r="T6" i="169" s="1"/>
  <c r="H17" i="170"/>
  <c r="T5" i="170" s="1"/>
  <c r="T6" i="170" s="1"/>
  <c r="T16" i="171" l="1"/>
  <c r="T17" i="171" s="1"/>
  <c r="T7" i="170"/>
  <c r="T7" i="169"/>
  <c r="K8" i="151"/>
  <c r="T9" i="168"/>
  <c r="T9" i="167"/>
  <c r="T9" i="166"/>
  <c r="T9" i="139"/>
  <c r="T9" i="138"/>
  <c r="E13" i="1" l="1"/>
  <c r="C11" i="1"/>
  <c r="E11" i="1" s="1"/>
  <c r="T16" i="169"/>
  <c r="T16" i="170"/>
  <c r="B25" i="168"/>
  <c r="B25" i="167"/>
  <c r="T17" i="170" l="1"/>
  <c r="T17" i="169"/>
  <c r="H17" i="168"/>
  <c r="T5" i="168" s="1"/>
  <c r="T6" i="168" s="1"/>
  <c r="H17" i="167"/>
  <c r="T5" i="167" s="1"/>
  <c r="T6" i="167" s="1"/>
  <c r="T9" i="151"/>
  <c r="C7" i="1" l="1"/>
  <c r="C9" i="1"/>
  <c r="E9" i="1" s="1"/>
  <c r="T7" i="167"/>
  <c r="T7" i="168"/>
  <c r="T16" i="168" l="1"/>
  <c r="T16" i="167"/>
  <c r="T17" i="167" l="1"/>
  <c r="T17" i="168"/>
  <c r="B25" i="166"/>
  <c r="E7" i="1" l="1"/>
  <c r="C10" i="1"/>
  <c r="E10" i="1" s="1"/>
  <c r="H17" i="166"/>
  <c r="T5" i="166" s="1"/>
  <c r="T6" i="166" s="1"/>
  <c r="T7" i="166" l="1"/>
  <c r="H9" i="151"/>
  <c r="H7" i="151"/>
  <c r="K7" i="151" s="1"/>
  <c r="H5" i="151"/>
  <c r="K5" i="151" s="1"/>
  <c r="H4" i="151"/>
  <c r="K4" i="151" s="1"/>
  <c r="B25" i="151"/>
  <c r="T16" i="166" l="1"/>
  <c r="H17" i="151"/>
  <c r="T5" i="151" l="1"/>
  <c r="T6" i="151" s="1"/>
  <c r="T17" i="166"/>
  <c r="T7" i="151"/>
  <c r="H9" i="139"/>
  <c r="B25" i="139"/>
  <c r="B25" i="138"/>
  <c r="C4" i="1" l="1"/>
  <c r="T16" i="151"/>
  <c r="T17" i="151" s="1"/>
  <c r="C5" i="1" s="1"/>
  <c r="H17" i="138"/>
  <c r="T5" i="138" s="1"/>
  <c r="T6" i="138" s="1"/>
  <c r="H17" i="139"/>
  <c r="T5" i="139" s="1"/>
  <c r="T6" i="139" s="1"/>
  <c r="T7" i="139" l="1"/>
  <c r="T7" i="138"/>
  <c r="E3" i="1" l="1"/>
  <c r="T16" i="139"/>
  <c r="T16" i="138"/>
  <c r="T17" i="138" s="1"/>
  <c r="C8" i="1" s="1"/>
  <c r="E8" i="1" s="1"/>
  <c r="T17" i="139" l="1"/>
  <c r="E4" i="1"/>
  <c r="C6" i="1" l="1"/>
  <c r="E6" i="1" s="1"/>
  <c r="E5" i="1"/>
</calcChain>
</file>

<file path=xl/sharedStrings.xml><?xml version="1.0" encoding="utf-8"?>
<sst xmlns="http://schemas.openxmlformats.org/spreadsheetml/2006/main" count="730" uniqueCount="79">
  <si>
    <t>급                여</t>
    <phoneticPr fontId="5" type="noConversion"/>
  </si>
  <si>
    <t>세   액    및    공   제</t>
    <phoneticPr fontId="5" type="noConversion"/>
  </si>
  <si>
    <t>기    본    급</t>
    <phoneticPr fontId="5" type="noConversion"/>
  </si>
  <si>
    <t>잔업수당</t>
    <phoneticPr fontId="5" type="noConversion"/>
  </si>
  <si>
    <t>휴일수당</t>
    <phoneticPr fontId="5" type="noConversion"/>
  </si>
  <si>
    <t>특근수당</t>
    <phoneticPr fontId="5" type="noConversion"/>
  </si>
  <si>
    <t>특잔수당</t>
    <phoneticPr fontId="5" type="noConversion"/>
  </si>
  <si>
    <t>공  제  총  액</t>
    <phoneticPr fontId="5" type="noConversion"/>
  </si>
  <si>
    <t>급  여  총  액</t>
    <phoneticPr fontId="5" type="noConversion"/>
  </si>
  <si>
    <t>실  수  령  액</t>
    <phoneticPr fontId="5" type="noConversion"/>
  </si>
  <si>
    <t xml:space="preserve">이름 : </t>
    <phoneticPr fontId="5" type="noConversion"/>
  </si>
  <si>
    <t>이름</t>
  </si>
  <si>
    <t>근무형태</t>
  </si>
  <si>
    <t>근무</t>
    <phoneticPr fontId="2" type="noConversion"/>
  </si>
  <si>
    <t>연장</t>
    <phoneticPr fontId="2" type="noConversion"/>
  </si>
  <si>
    <t>특근</t>
    <phoneticPr fontId="2" type="noConversion"/>
  </si>
  <si>
    <t>금액</t>
    <phoneticPr fontId="2" type="noConversion"/>
  </si>
  <si>
    <t>장기요양</t>
    <phoneticPr fontId="5" type="noConversion"/>
  </si>
  <si>
    <t>합계</t>
    <phoneticPr fontId="2" type="noConversion"/>
  </si>
  <si>
    <t>화</t>
  </si>
  <si>
    <t>수</t>
  </si>
  <si>
    <t>목</t>
  </si>
  <si>
    <t>금</t>
  </si>
  <si>
    <t>토</t>
  </si>
  <si>
    <t>일</t>
  </si>
  <si>
    <t>월</t>
  </si>
  <si>
    <t xml:space="preserve">한 달 동안 수고 많으셨습니다 ^^ </t>
    <phoneticPr fontId="2" type="noConversion"/>
  </si>
  <si>
    <t>지/조</t>
    <phoneticPr fontId="2" type="noConversion"/>
  </si>
  <si>
    <t>지각/조퇴</t>
    <phoneticPr fontId="5" type="noConversion"/>
  </si>
  <si>
    <t>국민연금</t>
    <phoneticPr fontId="5" type="noConversion"/>
  </si>
  <si>
    <t>건강보험</t>
    <phoneticPr fontId="5" type="noConversion"/>
  </si>
  <si>
    <t>고용보험</t>
    <phoneticPr fontId="5" type="noConversion"/>
  </si>
  <si>
    <t>갑근세</t>
    <phoneticPr fontId="5" type="noConversion"/>
  </si>
  <si>
    <t>소득세</t>
    <phoneticPr fontId="5" type="noConversion"/>
  </si>
  <si>
    <t>근태</t>
    <phoneticPr fontId="2" type="noConversion"/>
  </si>
  <si>
    <t>상여금</t>
    <phoneticPr fontId="2" type="noConversion"/>
  </si>
  <si>
    <t>상여금</t>
    <phoneticPr fontId="2" type="noConversion"/>
  </si>
  <si>
    <t>상여금</t>
    <phoneticPr fontId="2" type="noConversion"/>
  </si>
  <si>
    <t>상여금</t>
    <phoneticPr fontId="2" type="noConversion"/>
  </si>
  <si>
    <t>비고</t>
    <phoneticPr fontId="2" type="noConversion"/>
  </si>
  <si>
    <t>확인</t>
    <phoneticPr fontId="2" type="noConversion"/>
  </si>
  <si>
    <t>선지급</t>
    <phoneticPr fontId="2" type="noConversion"/>
  </si>
  <si>
    <t>어브코스 사대 급여명세서</t>
    <phoneticPr fontId="2" type="noConversion"/>
  </si>
  <si>
    <t>급여대장</t>
    <phoneticPr fontId="2" type="noConversion"/>
  </si>
  <si>
    <t>어브코스</t>
    <phoneticPr fontId="2" type="noConversion"/>
  </si>
  <si>
    <t>어브코스</t>
    <phoneticPr fontId="2" type="noConversion"/>
  </si>
  <si>
    <t>어브코스</t>
    <phoneticPr fontId="2" type="noConversion"/>
  </si>
  <si>
    <t>토</t>
    <phoneticPr fontId="2" type="noConversion"/>
  </si>
  <si>
    <t>토</t>
    <phoneticPr fontId="2" type="noConversion"/>
  </si>
  <si>
    <t>토</t>
    <phoneticPr fontId="2" type="noConversion"/>
  </si>
  <si>
    <t>강정희</t>
    <phoneticPr fontId="2" type="noConversion"/>
  </si>
  <si>
    <t>류경화</t>
    <phoneticPr fontId="2" type="noConversion"/>
  </si>
  <si>
    <t>박미순</t>
    <phoneticPr fontId="2" type="noConversion"/>
  </si>
  <si>
    <t>선두녀</t>
    <phoneticPr fontId="2" type="noConversion"/>
  </si>
  <si>
    <t>이영숙</t>
    <phoneticPr fontId="2" type="noConversion"/>
  </si>
  <si>
    <t>이진희</t>
    <phoneticPr fontId="2" type="noConversion"/>
  </si>
  <si>
    <t>임연숙</t>
    <phoneticPr fontId="2" type="noConversion"/>
  </si>
  <si>
    <t>김성경</t>
    <phoneticPr fontId="2" type="noConversion"/>
  </si>
  <si>
    <t>조행연</t>
    <phoneticPr fontId="2" type="noConversion"/>
  </si>
  <si>
    <t>간식대</t>
    <phoneticPr fontId="2" type="noConversion"/>
  </si>
  <si>
    <t>간식대</t>
    <phoneticPr fontId="2" type="noConversion"/>
  </si>
  <si>
    <t>간식대</t>
    <phoneticPr fontId="2" type="noConversion"/>
  </si>
  <si>
    <t>선지급</t>
    <phoneticPr fontId="5" type="noConversion"/>
  </si>
  <si>
    <t>선지급</t>
    <phoneticPr fontId="5" type="noConversion"/>
  </si>
  <si>
    <t>선지급</t>
    <phoneticPr fontId="5" type="noConversion"/>
  </si>
  <si>
    <t>선지급</t>
    <phoneticPr fontId="5" type="noConversion"/>
  </si>
  <si>
    <t>선지급</t>
    <phoneticPr fontId="5" type="noConversion"/>
  </si>
  <si>
    <t>선지급</t>
    <phoneticPr fontId="5" type="noConversion"/>
  </si>
  <si>
    <t>토</t>
    <phoneticPr fontId="2" type="noConversion"/>
  </si>
  <si>
    <t>토</t>
    <phoneticPr fontId="2" type="noConversion"/>
  </si>
  <si>
    <t>신향화</t>
    <phoneticPr fontId="2" type="noConversion"/>
  </si>
  <si>
    <t>김연아</t>
    <phoneticPr fontId="2" type="noConversion"/>
  </si>
  <si>
    <t>일</t>
    <phoneticPr fontId="66" type="noConversion"/>
  </si>
  <si>
    <t>월</t>
    <phoneticPr fontId="2" type="noConversion"/>
  </si>
  <si>
    <t>연차</t>
    <phoneticPr fontId="2" type="noConversion"/>
  </si>
  <si>
    <t>반차</t>
    <phoneticPr fontId="2" type="noConversion"/>
  </si>
  <si>
    <t>결근</t>
    <phoneticPr fontId="2" type="noConversion"/>
  </si>
  <si>
    <t>연말정산</t>
    <phoneticPr fontId="2" type="noConversion"/>
  </si>
  <si>
    <t>퇴직정산 반영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</si>
</sst>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2" formatCode="_-&quot;₩&quot;* #,##0_-;\-&quot;₩&quot;* #,##0_-;_-&quot;₩&quot;* &quot;-&quot;_-;_-@_-"/>
    <numFmt numFmtId="41" formatCode="_-* #,##0_-;\-* #,##0_-;_-* &quot;-&quot;_-;_-@_-"/>
    <numFmt numFmtId="24" formatCode="\$#,##0_);[Red]\(\$#,##0\)"/>
    <numFmt numFmtId="176" formatCode="#,##0.0_ "/>
    <numFmt numFmtId="177" formatCode="#,##0_ "/>
    <numFmt numFmtId="178" formatCode="0.0_ "/>
    <numFmt numFmtId="179" formatCode="&quot;₩&quot;#,##0.00;&quot;₩&quot;&quot;₩&quot;\!\-#,##0.00"/>
    <numFmt numFmtId="180" formatCode="yyyy&quot;년&quot;&quot;₩&quot;\!\ m&quot;월&quot;&quot;₩&quot;\!\ d&quot;일&quot;"/>
    <numFmt numFmtId="181" formatCode="_ &quot;₩&quot;* #,##0_ ;_ &quot;₩&quot;* \-#,##0_ ;_ &quot;₩&quot;* &quot;-&quot;_ ;_ @_ "/>
    <numFmt numFmtId="182" formatCode="0_);\(0\)"/>
    <numFmt numFmtId="183" formatCode="_ &quot;₩&quot;* #,##0.00_ ;_ &quot;₩&quot;* \-#,##0.00_ ;_ &quot;₩&quot;* &quot;-&quot;??_ ;_ @_ "/>
    <numFmt numFmtId="184" formatCode="0.E+00"/>
    <numFmt numFmtId="185" formatCode="_ * #,##0_ ;_ * \-#,##0_ ;_ * &quot;-&quot;_ ;_ @_ "/>
    <numFmt numFmtId="186" formatCode="_ * #,##0.00_ ;_ * \-#,##0.00_ ;_ * &quot;-&quot;??_ ;_ @_ "/>
    <numFmt numFmtId="187" formatCode="mm&quot;₩&quot;\/dd&quot;₩&quot;\/yy"/>
    <numFmt numFmtId="188" formatCode="yy&quot;년&quot;&quot;₩&quot;&quot;₩&quot;\ mm&quot;월&quot;&quot;₩&quot;&quot;₩&quot;\ dd&quot;일&quot;"/>
    <numFmt numFmtId="189" formatCode="#,##0;&quot;-&quot;#,##0"/>
    <numFmt numFmtId="190" formatCode="_-* #,##0_-;\!\-* #,##0_-;_-* &quot;-&quot;_-;_-@_-"/>
    <numFmt numFmtId="191" formatCode="_-* #,##0.00_-;\!\-* #,##0.00_-;_-* &quot;-&quot;??_-;_-@_-"/>
    <numFmt numFmtId="192" formatCode="0.0_);[Red]\(0.0\)"/>
    <numFmt numFmtId="193" formatCode="0_ "/>
    <numFmt numFmtId="194" formatCode="0;[Red]0"/>
  </numFmts>
  <fonts count="71"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u/>
      <sz val="2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8"/>
      <name val="굴림체"/>
      <family val="3"/>
      <charset val="129"/>
    </font>
    <font>
      <b/>
      <sz val="14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name val="굴림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0"/>
      <name val="돋움체"/>
      <family val="3"/>
      <charset val="129"/>
    </font>
    <font>
      <sz val="11"/>
      <name val="굴림체"/>
      <family val="3"/>
      <charset val="129"/>
    </font>
    <font>
      <sz val="9"/>
      <color indexed="8"/>
      <name val="맑은 고딕"/>
      <family val="3"/>
      <charset val="129"/>
    </font>
    <font>
      <sz val="11"/>
      <name val="돋움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name val="MS Sans Serif"/>
      <family val="2"/>
    </font>
    <font>
      <sz val="12"/>
      <name val="바탕체"/>
      <family val="1"/>
      <charset val="129"/>
    </font>
    <font>
      <sz val="10"/>
      <name val="Arial"/>
      <family val="2"/>
    </font>
    <font>
      <sz val="12"/>
      <name val="Times New Roman"/>
      <family val="1"/>
    </font>
    <font>
      <sz val="12"/>
      <name val="±¼¸²Ã¼"/>
      <family val="3"/>
      <charset val="129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1"/>
      <name val="Helv"/>
      <family val="2"/>
    </font>
    <font>
      <b/>
      <sz val="18"/>
      <color indexed="62"/>
      <name val="맑은 고딕"/>
      <family val="3"/>
      <charset val="129"/>
    </font>
    <font>
      <sz val="14"/>
      <name val="뼻뮝"/>
      <family val="3"/>
      <charset val="129"/>
    </font>
    <font>
      <sz val="11"/>
      <name val="바탕"/>
      <family val="1"/>
      <charset val="129"/>
    </font>
    <font>
      <sz val="10"/>
      <name val="궁서(English)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b/>
      <sz val="10"/>
      <color theme="1"/>
      <name val="굴림"/>
      <family val="3"/>
      <charset val="129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0"/>
      <name val="굴림"/>
      <family val="3"/>
      <charset val="129"/>
    </font>
    <font>
      <sz val="11"/>
      <name val="맑은 고딕"/>
      <family val="2"/>
      <charset val="129"/>
      <scheme val="minor"/>
    </font>
    <font>
      <sz val="11"/>
      <color rgb="FF0000FF"/>
      <name val="맑은 고딕"/>
      <family val="2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0"/>
      <color rgb="FFFF0000"/>
      <name val="굴림"/>
      <family val="3"/>
      <charset val="129"/>
    </font>
    <font>
      <sz val="11"/>
      <color rgb="FF0000FF"/>
      <name val="굴림"/>
      <family val="3"/>
      <charset val="129"/>
    </font>
    <font>
      <sz val="11"/>
      <color rgb="FFFF0000"/>
      <name val="굴림"/>
      <family val="3"/>
      <charset val="129"/>
    </font>
    <font>
      <sz val="8"/>
      <name val="맑은 고딕"/>
      <family val="3"/>
      <charset val="129"/>
    </font>
    <font>
      <sz val="10"/>
      <color rgb="FF0000FF"/>
      <name val="굴림"/>
      <family val="3"/>
      <charset val="129"/>
    </font>
    <font>
      <sz val="10"/>
      <color indexed="12"/>
      <name val="굴림"/>
      <family val="3"/>
      <charset val="129"/>
    </font>
    <font>
      <sz val="11"/>
      <color indexed="12"/>
      <name val="맑은 고딕"/>
      <family val="3"/>
      <charset val="129"/>
      <scheme val="major"/>
    </font>
    <font>
      <sz val="9"/>
      <name val="굴림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0"/>
        <bgColor indexed="64"/>
      </patternFill>
    </fill>
    <fill>
      <patternFill patternType="solid">
        <fgColor indexed="9"/>
      </patternFill>
    </fill>
    <fill>
      <patternFill patternType="solid">
        <fgColor indexed="5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auto="1"/>
      </bottom>
      <diagonal/>
    </border>
    <border>
      <left style="hair">
        <color indexed="64"/>
      </left>
      <right/>
      <top style="hair">
        <color indexed="64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auto="1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auto="1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auto="1"/>
      </bottom>
      <diagonal/>
    </border>
  </borders>
  <cellStyleXfs count="198">
    <xf numFmtId="0" fontId="0" fillId="0" borderId="0">
      <alignment vertical="center"/>
    </xf>
    <xf numFmtId="0" fontId="11" fillId="0" borderId="0">
      <alignment vertical="center"/>
    </xf>
    <xf numFmtId="0" fontId="12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1" borderId="16" applyNumberFormat="0" applyAlignment="0" applyProtection="0">
      <alignment vertical="center"/>
    </xf>
    <xf numFmtId="0" fontId="15" fillId="21" borderId="16" applyNumberFormat="0" applyAlignment="0" applyProtection="0">
      <alignment vertical="center"/>
    </xf>
    <xf numFmtId="0" fontId="15" fillId="21" borderId="16" applyNumberFormat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2" fillId="22" borderId="17" applyNumberFormat="0" applyFont="0" applyAlignment="0" applyProtection="0">
      <alignment vertical="center"/>
    </xf>
    <xf numFmtId="0" fontId="12" fillId="22" borderId="17" applyNumberFormat="0" applyFont="0" applyAlignment="0" applyProtection="0">
      <alignment vertical="center"/>
    </xf>
    <xf numFmtId="0" fontId="12" fillId="22" borderId="17" applyNumberFormat="0" applyFont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24" borderId="18" applyNumberFormat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41" fontId="17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8" borderId="16" applyNumberFormat="0" applyAlignment="0" applyProtection="0">
      <alignment vertical="center"/>
    </xf>
    <xf numFmtId="0" fontId="27" fillId="8" borderId="16" applyNumberFormat="0" applyAlignment="0" applyProtection="0">
      <alignment vertical="center"/>
    </xf>
    <xf numFmtId="0" fontId="27" fillId="8" borderId="16" applyNumberFormat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9" fillId="0" borderId="22" applyNumberFormat="0" applyFill="0" applyAlignment="0" applyProtection="0">
      <alignment vertical="center"/>
    </xf>
    <xf numFmtId="0" fontId="30" fillId="0" borderId="23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3" fillId="21" borderId="24" applyNumberFormat="0" applyAlignment="0" applyProtection="0">
      <alignment vertical="center"/>
    </xf>
    <xf numFmtId="0" fontId="33" fillId="21" borderId="24" applyNumberFormat="0" applyAlignment="0" applyProtection="0">
      <alignment vertical="center"/>
    </xf>
    <xf numFmtId="0" fontId="33" fillId="21" borderId="24" applyNumberFormat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4" fillId="0" borderId="0"/>
    <xf numFmtId="0" fontId="24" fillId="0" borderId="0"/>
    <xf numFmtId="0" fontId="11" fillId="0" borderId="0">
      <alignment vertical="center"/>
    </xf>
    <xf numFmtId="0" fontId="22" fillId="0" borderId="0">
      <alignment vertical="center"/>
    </xf>
    <xf numFmtId="0" fontId="24" fillId="0" borderId="0"/>
    <xf numFmtId="0" fontId="24" fillId="0" borderId="0"/>
    <xf numFmtId="0" fontId="11" fillId="0" borderId="0">
      <alignment vertical="center"/>
    </xf>
    <xf numFmtId="0" fontId="21" fillId="0" borderId="0"/>
    <xf numFmtId="0" fontId="11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/>
    <xf numFmtId="0" fontId="1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24" fontId="35" fillId="0" borderId="0" applyFont="0" applyFill="0" applyBorder="0" applyAlignment="0" applyProtection="0"/>
    <xf numFmtId="179" fontId="24" fillId="0" borderId="0" applyNumberFormat="0" applyFont="0" applyFill="0" applyBorder="0" applyAlignment="0" applyProtection="0"/>
    <xf numFmtId="179" fontId="24" fillId="0" borderId="0" applyNumberFormat="0" applyFont="0" applyFill="0" applyBorder="0" applyAlignment="0" applyProtection="0"/>
    <xf numFmtId="180" fontId="24" fillId="0" borderId="0" applyNumberFormat="0" applyFont="0" applyFill="0" applyBorder="0" applyAlignment="0" applyProtection="0"/>
    <xf numFmtId="0" fontId="36" fillId="0" borderId="0"/>
    <xf numFmtId="0" fontId="36" fillId="0" borderId="0"/>
    <xf numFmtId="0" fontId="37" fillId="0" borderId="0"/>
    <xf numFmtId="0" fontId="38" fillId="0" borderId="0"/>
    <xf numFmtId="0" fontId="12" fillId="2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181" fontId="39" fillId="0" borderId="0" applyFont="0" applyFill="0" applyBorder="0" applyAlignment="0" applyProtection="0"/>
    <xf numFmtId="182" fontId="36" fillId="0" borderId="0" applyFont="0" applyFill="0" applyBorder="0" applyAlignment="0" applyProtection="0"/>
    <xf numFmtId="183" fontId="39" fillId="0" borderId="0" applyFont="0" applyFill="0" applyBorder="0" applyAlignment="0" applyProtection="0"/>
    <xf numFmtId="184" fontId="36" fillId="0" borderId="0" applyFont="0" applyFill="0" applyBorder="0" applyAlignment="0" applyProtection="0"/>
    <xf numFmtId="0" fontId="35" fillId="0" borderId="0"/>
    <xf numFmtId="185" fontId="39" fillId="0" borderId="0" applyFont="0" applyFill="0" applyBorder="0" applyAlignment="0" applyProtection="0"/>
    <xf numFmtId="186" fontId="39" fillId="0" borderId="0" applyFont="0" applyFill="0" applyBorder="0" applyAlignment="0" applyProtection="0"/>
    <xf numFmtId="0" fontId="16" fillId="4" borderId="0" applyNumberFormat="0" applyBorder="0" applyAlignment="0" applyProtection="0">
      <alignment vertical="center"/>
    </xf>
    <xf numFmtId="0" fontId="39" fillId="0" borderId="0"/>
    <xf numFmtId="0" fontId="37" fillId="0" borderId="0"/>
    <xf numFmtId="0" fontId="15" fillId="26" borderId="16" applyNumberFormat="0" applyAlignment="0" applyProtection="0">
      <alignment vertical="center"/>
    </xf>
    <xf numFmtId="0" fontId="40" fillId="0" borderId="0"/>
    <xf numFmtId="0" fontId="20" fillId="24" borderId="18" applyNumberFormat="0" applyAlignment="0" applyProtection="0">
      <alignment vertical="center"/>
    </xf>
    <xf numFmtId="185" fontId="37" fillId="0" borderId="0" applyFont="0" applyFill="0" applyBorder="0" applyAlignment="0" applyProtection="0"/>
    <xf numFmtId="186" fontId="37" fillId="0" borderId="0" applyFont="0" applyFill="0" applyBorder="0" applyAlignment="0" applyProtection="0"/>
    <xf numFmtId="187" fontId="24" fillId="0" borderId="0" applyFont="0" applyFill="0" applyBorder="0" applyAlignment="0" applyProtection="0"/>
    <xf numFmtId="188" fontId="24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38" fontId="41" fillId="28" borderId="0" applyNumberFormat="0" applyBorder="0" applyAlignment="0" applyProtection="0"/>
    <xf numFmtId="0" fontId="42" fillId="0" borderId="0">
      <alignment horizontal="left"/>
    </xf>
    <xf numFmtId="0" fontId="43" fillId="0" borderId="26" applyNumberFormat="0" applyAlignment="0" applyProtection="0">
      <alignment horizontal="left" vertical="center"/>
    </xf>
    <xf numFmtId="0" fontId="43" fillId="0" borderId="9">
      <alignment horizontal="left" vertical="center"/>
    </xf>
    <xf numFmtId="0" fontId="44" fillId="0" borderId="27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6" fillId="0" borderId="28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7" fillId="8" borderId="16" applyNumberFormat="0" applyAlignment="0" applyProtection="0">
      <alignment vertical="center"/>
    </xf>
    <xf numFmtId="10" fontId="41" fillId="29" borderId="6" applyNumberFormat="0" applyBorder="0" applyAlignment="0" applyProtection="0"/>
    <xf numFmtId="0" fontId="25" fillId="0" borderId="19" applyNumberFormat="0" applyFill="0" applyAlignment="0" applyProtection="0">
      <alignment vertical="center"/>
    </xf>
    <xf numFmtId="0" fontId="47" fillId="0" borderId="1"/>
    <xf numFmtId="0" fontId="18" fillId="23" borderId="0" applyNumberFormat="0" applyBorder="0" applyAlignment="0" applyProtection="0">
      <alignment vertical="center"/>
    </xf>
    <xf numFmtId="0" fontId="24" fillId="0" borderId="0"/>
    <xf numFmtId="0" fontId="37" fillId="0" borderId="0"/>
    <xf numFmtId="0" fontId="24" fillId="22" borderId="17" applyNumberFormat="0" applyFont="0" applyAlignment="0" applyProtection="0">
      <alignment vertical="center"/>
    </xf>
    <xf numFmtId="0" fontId="33" fillId="26" borderId="24" applyNumberFormat="0" applyAlignment="0" applyProtection="0">
      <alignment vertical="center"/>
    </xf>
    <xf numFmtId="10" fontId="37" fillId="0" borderId="0" applyFont="0" applyFill="0" applyBorder="0" applyAlignment="0" applyProtection="0"/>
    <xf numFmtId="0" fontId="47" fillId="0" borderId="0"/>
    <xf numFmtId="0" fontId="48" fillId="0" borderId="0" applyNumberFormat="0" applyFill="0" applyBorder="0" applyAlignment="0" applyProtection="0">
      <alignment vertical="center"/>
    </xf>
    <xf numFmtId="0" fontId="26" fillId="0" borderId="2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0" fontId="49" fillId="0" borderId="0" applyFont="0" applyFill="0" applyBorder="0" applyAlignment="0" applyProtection="0"/>
    <xf numFmtId="38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36" fillId="0" borderId="0"/>
    <xf numFmtId="41" fontId="50" fillId="0" borderId="0" applyFont="0" applyFill="0" applyBorder="0" applyAlignment="0" applyProtection="0">
      <alignment vertical="center"/>
    </xf>
    <xf numFmtId="0" fontId="37" fillId="0" borderId="0"/>
    <xf numFmtId="189" fontId="51" fillId="0" borderId="0" applyFont="0" applyFill="0" applyBorder="0" applyAlignment="0" applyProtection="0"/>
    <xf numFmtId="190" fontId="24" fillId="0" borderId="0" applyFont="0" applyFill="0" applyBorder="0" applyAlignment="0" applyProtection="0"/>
    <xf numFmtId="191" fontId="24" fillId="0" borderId="0" applyFont="0" applyFill="0" applyBorder="0" applyAlignment="0" applyProtection="0"/>
    <xf numFmtId="42" fontId="24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24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2" fontId="2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2" fontId="2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6" fillId="0" borderId="0">
      <alignment vertical="center"/>
    </xf>
  </cellStyleXfs>
  <cellXfs count="155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0" fontId="7" fillId="0" borderId="0" xfId="0" applyFont="1">
      <alignment vertical="center"/>
    </xf>
    <xf numFmtId="0" fontId="9" fillId="0" borderId="0" xfId="0" applyFont="1">
      <alignment vertical="center"/>
    </xf>
    <xf numFmtId="0" fontId="0" fillId="0" borderId="6" xfId="0" applyBorder="1" applyAlignment="1">
      <alignment horizontal="center" vertical="center"/>
    </xf>
    <xf numFmtId="0" fontId="52" fillId="0" borderId="0" xfId="0" applyFont="1">
      <alignment vertical="center"/>
    </xf>
    <xf numFmtId="41" fontId="0" fillId="0" borderId="0" xfId="90" applyFont="1" applyAlignment="1">
      <alignment horizontal="right" vertical="center"/>
    </xf>
    <xf numFmtId="41" fontId="0" fillId="0" borderId="0" xfId="9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1" fontId="0" fillId="0" borderId="0" xfId="90" applyFont="1">
      <alignment vertical="center"/>
    </xf>
    <xf numFmtId="41" fontId="4" fillId="0" borderId="10" xfId="90" applyFont="1" applyFill="1" applyBorder="1" applyAlignment="1">
      <alignment horizontal="right" vertical="center"/>
    </xf>
    <xf numFmtId="0" fontId="4" fillId="25" borderId="0" xfId="0" applyFont="1" applyFill="1">
      <alignment vertical="center"/>
    </xf>
    <xf numFmtId="0" fontId="55" fillId="25" borderId="0" xfId="0" applyFont="1" applyFill="1">
      <alignment vertical="center"/>
    </xf>
    <xf numFmtId="0" fontId="4" fillId="25" borderId="0" xfId="0" applyFont="1" applyFill="1" applyAlignment="1">
      <alignment horizontal="center" vertical="center"/>
    </xf>
    <xf numFmtId="0" fontId="11" fillId="0" borderId="37" xfId="1" applyBorder="1" applyAlignment="1">
      <alignment horizontal="center" vertical="center"/>
    </xf>
    <xf numFmtId="0" fontId="53" fillId="0" borderId="6" xfId="75" applyFont="1" applyBorder="1" applyAlignment="1">
      <alignment horizontal="center"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41" fontId="59" fillId="0" borderId="0" xfId="90" applyFont="1" applyFill="1" applyAlignment="1">
      <alignment horizontal="right" vertical="center"/>
    </xf>
    <xf numFmtId="41" fontId="59" fillId="0" borderId="0" xfId="90" applyFont="1" applyFill="1">
      <alignment vertical="center"/>
    </xf>
    <xf numFmtId="0" fontId="59" fillId="0" borderId="0" xfId="0" applyFont="1">
      <alignment vertical="center"/>
    </xf>
    <xf numFmtId="0" fontId="60" fillId="0" borderId="0" xfId="0" applyFont="1">
      <alignment vertical="center"/>
    </xf>
    <xf numFmtId="0" fontId="57" fillId="0" borderId="0" xfId="0" applyFont="1">
      <alignment vertical="center"/>
    </xf>
    <xf numFmtId="0" fontId="0" fillId="30" borderId="0" xfId="0" applyFill="1">
      <alignment vertical="center"/>
    </xf>
    <xf numFmtId="0" fontId="1" fillId="0" borderId="0" xfId="0" applyFont="1">
      <alignment vertical="center"/>
    </xf>
    <xf numFmtId="41" fontId="0" fillId="0" borderId="0" xfId="90" applyFont="1" applyFill="1" applyAlignment="1">
      <alignment horizontal="center" vertical="center"/>
    </xf>
    <xf numFmtId="0" fontId="61" fillId="0" borderId="0" xfId="0" applyFont="1">
      <alignment vertical="center"/>
    </xf>
    <xf numFmtId="41" fontId="7" fillId="0" borderId="10" xfId="90" applyFont="1" applyFill="1" applyBorder="1" applyAlignment="1">
      <alignment horizontal="right" vertical="center"/>
    </xf>
    <xf numFmtId="41" fontId="0" fillId="0" borderId="6" xfId="90" applyFont="1" applyFill="1" applyBorder="1" applyAlignment="1">
      <alignment horizontal="center" vertical="center"/>
    </xf>
    <xf numFmtId="41" fontId="11" fillId="0" borderId="0" xfId="90" applyFont="1" applyAlignment="1">
      <alignment horizontal="center" vertical="center"/>
    </xf>
    <xf numFmtId="41" fontId="62" fillId="0" borderId="6" xfId="90" applyFont="1" applyBorder="1" applyAlignment="1">
      <alignment horizontal="center" vertical="center"/>
    </xf>
    <xf numFmtId="41" fontId="4" fillId="0" borderId="0" xfId="90" applyFont="1" applyFill="1" applyAlignment="1">
      <alignment horizontal="right" vertical="center"/>
    </xf>
    <xf numFmtId="41" fontId="11" fillId="0" borderId="0" xfId="90" applyFont="1" applyAlignment="1">
      <alignment horizontal="right" vertical="center"/>
    </xf>
    <xf numFmtId="0" fontId="11" fillId="0" borderId="40" xfId="1" applyBorder="1" applyAlignment="1">
      <alignment horizontal="center" vertical="center"/>
    </xf>
    <xf numFmtId="0" fontId="11" fillId="0" borderId="6" xfId="1" applyBorder="1" applyAlignment="1">
      <alignment horizontal="center" vertical="center"/>
    </xf>
    <xf numFmtId="41" fontId="59" fillId="0" borderId="0" xfId="90" applyFont="1">
      <alignment vertical="center"/>
    </xf>
    <xf numFmtId="41" fontId="4" fillId="0" borderId="0" xfId="90" applyFont="1">
      <alignment vertical="center"/>
    </xf>
    <xf numFmtId="0" fontId="1" fillId="0" borderId="0" xfId="0" applyFont="1" applyAlignment="1">
      <alignment horizontal="center" vertical="center"/>
    </xf>
    <xf numFmtId="41" fontId="0" fillId="0" borderId="0" xfId="90" applyFont="1" applyFill="1" applyBorder="1" applyAlignment="1">
      <alignment horizontal="center" vertical="center"/>
    </xf>
    <xf numFmtId="0" fontId="0" fillId="31" borderId="6" xfId="0" applyFill="1" applyBorder="1" applyAlignment="1">
      <alignment horizontal="center" vertical="center"/>
    </xf>
    <xf numFmtId="0" fontId="53" fillId="31" borderId="6" xfId="75" applyFont="1" applyFill="1" applyBorder="1" applyAlignment="1">
      <alignment horizontal="center" vertical="center"/>
    </xf>
    <xf numFmtId="41" fontId="11" fillId="31" borderId="6" xfId="90" applyFont="1" applyFill="1" applyBorder="1" applyAlignment="1">
      <alignment horizontal="center" vertical="center"/>
    </xf>
    <xf numFmtId="41" fontId="0" fillId="31" borderId="6" xfId="90" applyFont="1" applyFill="1" applyBorder="1" applyAlignment="1">
      <alignment horizontal="center" vertical="center"/>
    </xf>
    <xf numFmtId="41" fontId="0" fillId="31" borderId="0" xfId="90" applyFont="1" applyFill="1" applyBorder="1" applyAlignment="1">
      <alignment horizontal="center" vertical="center"/>
    </xf>
    <xf numFmtId="41" fontId="62" fillId="31" borderId="6" xfId="90" applyFont="1" applyFill="1" applyBorder="1" applyAlignment="1">
      <alignment horizontal="center" vertical="center"/>
    </xf>
    <xf numFmtId="0" fontId="11" fillId="0" borderId="14" xfId="1" applyBorder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92" fontId="67" fillId="0" borderId="51" xfId="0" applyNumberFormat="1" applyFont="1" applyBorder="1" applyAlignment="1">
      <alignment horizontal="center" vertical="center" shrinkToFit="1"/>
    </xf>
    <xf numFmtId="192" fontId="67" fillId="0" borderId="48" xfId="0" applyNumberFormat="1" applyFont="1" applyBorder="1" applyAlignment="1">
      <alignment horizontal="center" vertical="center" shrinkToFit="1"/>
    </xf>
    <xf numFmtId="192" fontId="67" fillId="0" borderId="12" xfId="0" applyNumberFormat="1" applyFont="1" applyBorder="1" applyAlignment="1">
      <alignment horizontal="center" vertical="center" shrinkToFit="1"/>
    </xf>
    <xf numFmtId="192" fontId="68" fillId="0" borderId="48" xfId="0" applyNumberFormat="1" applyFont="1" applyBorder="1" applyAlignment="1">
      <alignment horizontal="center" vertical="center" shrinkToFit="1"/>
    </xf>
    <xf numFmtId="192" fontId="68" fillId="0" borderId="12" xfId="0" applyNumberFormat="1" applyFont="1" applyBorder="1" applyAlignment="1">
      <alignment horizontal="center" vertical="center" shrinkToFit="1"/>
    </xf>
    <xf numFmtId="192" fontId="68" fillId="0" borderId="51" xfId="0" applyNumberFormat="1" applyFont="1" applyBorder="1" applyAlignment="1">
      <alignment horizontal="center" vertical="center" shrinkToFit="1"/>
    </xf>
    <xf numFmtId="178" fontId="69" fillId="0" borderId="48" xfId="0" applyNumberFormat="1" applyFont="1" applyBorder="1" applyAlignment="1" applyProtection="1">
      <alignment horizontal="center" vertical="center"/>
      <protection locked="0"/>
    </xf>
    <xf numFmtId="178" fontId="69" fillId="0" borderId="12" xfId="0" applyNumberFormat="1" applyFont="1" applyBorder="1" applyAlignment="1" applyProtection="1">
      <alignment horizontal="center" vertical="center"/>
      <protection locked="0"/>
    </xf>
    <xf numFmtId="178" fontId="69" fillId="0" borderId="52" xfId="0" applyNumberFormat="1" applyFont="1" applyBorder="1" applyAlignment="1" applyProtection="1">
      <alignment horizontal="center" vertical="center"/>
      <protection locked="0"/>
    </xf>
    <xf numFmtId="0" fontId="17" fillId="0" borderId="38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58" fillId="0" borderId="41" xfId="0" applyFont="1" applyBorder="1" applyAlignment="1">
      <alignment horizontal="center" vertical="center"/>
    </xf>
    <xf numFmtId="0" fontId="58" fillId="0" borderId="30" xfId="0" applyFont="1" applyBorder="1" applyAlignment="1">
      <alignment horizontal="center" vertical="center"/>
    </xf>
    <xf numFmtId="0" fontId="58" fillId="0" borderId="31" xfId="0" applyFont="1" applyBorder="1" applyAlignment="1">
      <alignment horizontal="center" vertical="center"/>
    </xf>
    <xf numFmtId="0" fontId="58" fillId="0" borderId="58" xfId="0" applyFont="1" applyBorder="1" applyAlignment="1">
      <alignment horizontal="center" vertical="center"/>
    </xf>
    <xf numFmtId="0" fontId="58" fillId="0" borderId="57" xfId="0" applyFont="1" applyBorder="1" applyAlignment="1">
      <alignment horizontal="center" vertical="center"/>
    </xf>
    <xf numFmtId="193" fontId="65" fillId="32" borderId="35" xfId="0" applyNumberFormat="1" applyFont="1" applyFill="1" applyBorder="1" applyAlignment="1">
      <alignment horizontal="center" vertical="center"/>
    </xf>
    <xf numFmtId="0" fontId="65" fillId="32" borderId="42" xfId="0" applyFont="1" applyFill="1" applyBorder="1" applyAlignment="1">
      <alignment horizontal="center" vertical="center"/>
    </xf>
    <xf numFmtId="0" fontId="63" fillId="32" borderId="50" xfId="0" applyFont="1" applyFill="1" applyBorder="1" applyAlignment="1">
      <alignment horizontal="center" vertical="center"/>
    </xf>
    <xf numFmtId="0" fontId="63" fillId="32" borderId="49" xfId="0" applyFont="1" applyFill="1" applyBorder="1" applyAlignment="1">
      <alignment horizontal="center" vertical="center"/>
    </xf>
    <xf numFmtId="0" fontId="63" fillId="32" borderId="42" xfId="0" applyFont="1" applyFill="1" applyBorder="1" applyAlignment="1">
      <alignment horizontal="center" vertical="center"/>
    </xf>
    <xf numFmtId="0" fontId="65" fillId="32" borderId="38" xfId="0" applyFont="1" applyFill="1" applyBorder="1" applyAlignment="1">
      <alignment horizontal="center" vertical="center"/>
    </xf>
    <xf numFmtId="0" fontId="65" fillId="32" borderId="31" xfId="0" applyFont="1" applyFill="1" applyBorder="1" applyAlignment="1">
      <alignment horizontal="center" vertical="center"/>
    </xf>
    <xf numFmtId="0" fontId="63" fillId="32" borderId="41" xfId="0" applyFont="1" applyFill="1" applyBorder="1" applyAlignment="1">
      <alignment horizontal="center" vertical="center"/>
    </xf>
    <xf numFmtId="0" fontId="63" fillId="32" borderId="30" xfId="0" applyFont="1" applyFill="1" applyBorder="1" applyAlignment="1">
      <alignment horizontal="center" vertical="center"/>
    </xf>
    <xf numFmtId="0" fontId="63" fillId="32" borderId="31" xfId="0" applyFont="1" applyFill="1" applyBorder="1" applyAlignment="1">
      <alignment horizontal="center" vertical="center"/>
    </xf>
    <xf numFmtId="0" fontId="64" fillId="33" borderId="38" xfId="0" applyFont="1" applyFill="1" applyBorder="1" applyAlignment="1">
      <alignment horizontal="center" vertical="center"/>
    </xf>
    <xf numFmtId="0" fontId="64" fillId="33" borderId="31" xfId="0" applyFont="1" applyFill="1" applyBorder="1" applyAlignment="1">
      <alignment horizontal="center" vertical="center"/>
    </xf>
    <xf numFmtId="0" fontId="67" fillId="33" borderId="41" xfId="0" applyFont="1" applyFill="1" applyBorder="1" applyAlignment="1">
      <alignment horizontal="center" vertical="center"/>
    </xf>
    <xf numFmtId="0" fontId="67" fillId="33" borderId="30" xfId="0" applyFont="1" applyFill="1" applyBorder="1" applyAlignment="1">
      <alignment horizontal="center" vertical="center"/>
    </xf>
    <xf numFmtId="0" fontId="67" fillId="33" borderId="31" xfId="0" applyFont="1" applyFill="1" applyBorder="1" applyAlignment="1">
      <alignment horizontal="center" vertical="center"/>
    </xf>
    <xf numFmtId="0" fontId="64" fillId="33" borderId="36" xfId="0" applyFont="1" applyFill="1" applyBorder="1" applyAlignment="1">
      <alignment horizontal="center" vertical="center"/>
    </xf>
    <xf numFmtId="0" fontId="64" fillId="33" borderId="43" xfId="0" applyFont="1" applyFill="1" applyBorder="1" applyAlignment="1">
      <alignment horizontal="center" vertical="center"/>
    </xf>
    <xf numFmtId="0" fontId="67" fillId="33" borderId="53" xfId="0" applyFont="1" applyFill="1" applyBorder="1" applyAlignment="1">
      <alignment horizontal="center" vertical="center"/>
    </xf>
    <xf numFmtId="0" fontId="67" fillId="33" borderId="54" xfId="0" applyFont="1" applyFill="1" applyBorder="1" applyAlignment="1">
      <alignment horizontal="center" vertical="center"/>
    </xf>
    <xf numFmtId="0" fontId="67" fillId="33" borderId="55" xfId="0" applyFont="1" applyFill="1" applyBorder="1" applyAlignment="1">
      <alignment horizontal="center" vertical="center"/>
    </xf>
    <xf numFmtId="0" fontId="58" fillId="0" borderId="56" xfId="0" applyFont="1" applyBorder="1" applyAlignment="1">
      <alignment horizontal="center" vertical="center"/>
    </xf>
    <xf numFmtId="0" fontId="58" fillId="0" borderId="38" xfId="0" applyFont="1" applyBorder="1" applyAlignment="1">
      <alignment horizontal="center" vertical="center"/>
    </xf>
    <xf numFmtId="0" fontId="70" fillId="0" borderId="31" xfId="0" applyFont="1" applyBorder="1" applyAlignment="1">
      <alignment horizontal="center" vertical="center"/>
    </xf>
    <xf numFmtId="194" fontId="58" fillId="0" borderId="41" xfId="0" applyNumberFormat="1" applyFont="1" applyBorder="1" applyAlignment="1">
      <alignment horizontal="center" vertical="center" shrinkToFit="1"/>
    </xf>
    <xf numFmtId="0" fontId="58" fillId="0" borderId="59" xfId="0" applyFont="1" applyBorder="1" applyAlignment="1">
      <alignment horizontal="center" vertical="center"/>
    </xf>
    <xf numFmtId="0" fontId="58" fillId="0" borderId="60" xfId="0" applyFont="1" applyBorder="1" applyAlignment="1">
      <alignment horizontal="center" vertical="center"/>
    </xf>
    <xf numFmtId="0" fontId="67" fillId="33" borderId="61" xfId="0" applyFont="1" applyFill="1" applyBorder="1" applyAlignment="1">
      <alignment horizontal="center" vertical="center"/>
    </xf>
    <xf numFmtId="0" fontId="67" fillId="33" borderId="62" xfId="0" applyFont="1" applyFill="1" applyBorder="1" applyAlignment="1">
      <alignment horizontal="center" vertical="center"/>
    </xf>
    <xf numFmtId="0" fontId="67" fillId="33" borderId="63" xfId="0" applyFont="1" applyFill="1" applyBorder="1" applyAlignment="1">
      <alignment horizontal="center" vertical="center"/>
    </xf>
    <xf numFmtId="0" fontId="67" fillId="33" borderId="64" xfId="0" applyFont="1" applyFill="1" applyBorder="1" applyAlignment="1">
      <alignment horizontal="center" vertical="center"/>
    </xf>
    <xf numFmtId="41" fontId="4" fillId="31" borderId="10" xfId="90" applyFont="1" applyFill="1" applyBorder="1" applyAlignment="1">
      <alignment horizontal="right" vertical="center"/>
    </xf>
    <xf numFmtId="41" fontId="7" fillId="0" borderId="6" xfId="9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4" fillId="0" borderId="32" xfId="0" applyFont="1" applyBorder="1" applyAlignment="1">
      <alignment horizontal="center" vertical="center"/>
    </xf>
    <xf numFmtId="0" fontId="54" fillId="0" borderId="33" xfId="0" applyFont="1" applyBorder="1" applyAlignment="1">
      <alignment horizontal="center" vertical="center"/>
    </xf>
    <xf numFmtId="0" fontId="11" fillId="0" borderId="0" xfId="1" applyAlignment="1">
      <alignment horizontal="center" vertical="center"/>
    </xf>
    <xf numFmtId="0" fontId="11" fillId="0" borderId="39" xfId="1" applyBorder="1" applyAlignment="1">
      <alignment horizontal="center" vertical="center" wrapText="1"/>
    </xf>
    <xf numFmtId="0" fontId="11" fillId="0" borderId="5" xfId="1" applyBorder="1" applyAlignment="1">
      <alignment horizontal="center" vertical="center" wrapText="1"/>
    </xf>
    <xf numFmtId="0" fontId="11" fillId="0" borderId="34" xfId="1" applyBorder="1" applyAlignment="1">
      <alignment horizontal="center" vertical="center" wrapText="1"/>
    </xf>
    <xf numFmtId="0" fontId="11" fillId="0" borderId="13" xfId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4" fillId="25" borderId="1" xfId="0" applyFont="1" applyFill="1" applyBorder="1" applyAlignment="1">
      <alignment horizontal="center" vertical="center"/>
    </xf>
    <xf numFmtId="0" fontId="11" fillId="0" borderId="0" xfId="1" applyAlignment="1">
      <alignment horizontal="center" vertical="center" wrapText="1"/>
    </xf>
    <xf numFmtId="0" fontId="11" fillId="0" borderId="2" xfId="1" applyBorder="1" applyAlignment="1">
      <alignment horizontal="center" vertical="center" wrapText="1"/>
    </xf>
    <xf numFmtId="0" fontId="11" fillId="0" borderId="3" xfId="1" applyBorder="1" applyAlignment="1">
      <alignment horizontal="center" vertical="center"/>
    </xf>
    <xf numFmtId="0" fontId="11" fillId="0" borderId="14" xfId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77" fontId="4" fillId="0" borderId="6" xfId="0" applyNumberFormat="1" applyFont="1" applyBorder="1" applyAlignment="1">
      <alignment horizontal="center" vertical="center"/>
    </xf>
    <xf numFmtId="177" fontId="4" fillId="0" borderId="7" xfId="0" applyNumberFormat="1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77" fontId="4" fillId="0" borderId="14" xfId="0" applyNumberFormat="1" applyFont="1" applyBorder="1" applyAlignment="1">
      <alignment horizontal="center" vertical="center"/>
    </xf>
    <xf numFmtId="177" fontId="4" fillId="0" borderId="15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77" fontId="4" fillId="0" borderId="11" xfId="0" applyNumberFormat="1" applyFont="1" applyBorder="1" applyAlignment="1">
      <alignment horizontal="center" vertical="center"/>
    </xf>
    <xf numFmtId="177" fontId="4" fillId="0" borderId="9" xfId="0" applyNumberFormat="1" applyFont="1" applyBorder="1" applyAlignment="1">
      <alignment horizontal="center" vertical="center"/>
    </xf>
    <xf numFmtId="177" fontId="4" fillId="0" borderId="10" xfId="0" applyNumberFormat="1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177" fontId="4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horizontal="center" vertical="center"/>
    </xf>
    <xf numFmtId="177" fontId="4" fillId="0" borderId="48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distributed" vertical="distributed" indent="3"/>
    </xf>
    <xf numFmtId="0" fontId="4" fillId="0" borderId="6" xfId="0" applyFont="1" applyBorder="1" applyAlignment="1">
      <alignment horizontal="distributed" vertical="distributed" indent="3"/>
    </xf>
    <xf numFmtId="0" fontId="4" fillId="0" borderId="11" xfId="0" applyFont="1" applyBorder="1" applyAlignment="1">
      <alignment horizontal="distributed" vertical="distributed" indent="3"/>
    </xf>
    <xf numFmtId="0" fontId="4" fillId="0" borderId="37" xfId="0" applyFont="1" applyBorder="1" applyAlignment="1">
      <alignment horizontal="distributed" vertical="distributed" indent="3"/>
    </xf>
    <xf numFmtId="177" fontId="4" fillId="0" borderId="37" xfId="0" applyNumberFormat="1" applyFont="1" applyBorder="1" applyAlignment="1">
      <alignment horizontal="center" vertical="center"/>
    </xf>
    <xf numFmtId="177" fontId="4" fillId="0" borderId="44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distributed" vertical="distributed" indent="3"/>
    </xf>
    <xf numFmtId="0" fontId="4" fillId="0" borderId="9" xfId="0" applyFont="1" applyBorder="1" applyAlignment="1">
      <alignment horizontal="distributed" vertical="distributed" indent="3"/>
    </xf>
    <xf numFmtId="0" fontId="4" fillId="0" borderId="10" xfId="0" applyFont="1" applyBorder="1" applyAlignment="1">
      <alignment horizontal="distributed" vertical="distributed" indent="3"/>
    </xf>
    <xf numFmtId="177" fontId="4" fillId="0" borderId="12" xfId="0" applyNumberFormat="1" applyFont="1" applyBorder="1" applyAlignment="1">
      <alignment horizontal="center" vertical="center"/>
    </xf>
    <xf numFmtId="176" fontId="4" fillId="0" borderId="11" xfId="0" applyNumberFormat="1" applyFont="1" applyBorder="1" applyAlignment="1">
      <alignment horizontal="center" vertical="center"/>
    </xf>
    <xf numFmtId="176" fontId="4" fillId="0" borderId="9" xfId="0" applyNumberFormat="1" applyFont="1" applyBorder="1" applyAlignment="1">
      <alignment horizontal="center" vertical="center"/>
    </xf>
    <xf numFmtId="176" fontId="4" fillId="0" borderId="10" xfId="0" applyNumberFormat="1" applyFont="1" applyBorder="1" applyAlignment="1">
      <alignment horizontal="center" vertical="center"/>
    </xf>
    <xf numFmtId="176" fontId="4" fillId="0" borderId="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</cellXfs>
  <cellStyles count="198">
    <cellStyle name="$" xfId="93" xr:uid="{00000000-0005-0000-0000-000000000000}"/>
    <cellStyle name="$_db진흥" xfId="94" xr:uid="{00000000-0005-0000-0000-000001000000}"/>
    <cellStyle name="$_견적2" xfId="95" xr:uid="{00000000-0005-0000-0000-000002000000}"/>
    <cellStyle name="$_기아" xfId="96" xr:uid="{00000000-0005-0000-0000-000003000000}"/>
    <cellStyle name="??&amp;O?&amp;H?_x0008__x000f__x0007_?_x0007__x0001__x0001_" xfId="97" xr:uid="{00000000-0005-0000-0000-000004000000}"/>
    <cellStyle name="??&amp;O?&amp;H?_x0008_??_x0007__x0001__x0001_" xfId="98" xr:uid="{00000000-0005-0000-0000-000005000000}"/>
    <cellStyle name="_소코드1" xfId="99" xr:uid="{00000000-0005-0000-0000-000006000000}"/>
    <cellStyle name="¤@?e_TEST-1 " xfId="100" xr:uid="{00000000-0005-0000-0000-000007000000}"/>
    <cellStyle name="20% - Accent1" xfId="101" xr:uid="{00000000-0005-0000-0000-000008000000}"/>
    <cellStyle name="20% - Accent2" xfId="102" xr:uid="{00000000-0005-0000-0000-000009000000}"/>
    <cellStyle name="20% - Accent3" xfId="103" xr:uid="{00000000-0005-0000-0000-00000A000000}"/>
    <cellStyle name="20% - Accent4" xfId="104" xr:uid="{00000000-0005-0000-0000-00000B000000}"/>
    <cellStyle name="20% - Accent5" xfId="105" xr:uid="{00000000-0005-0000-0000-00000C000000}"/>
    <cellStyle name="20% - Accent6" xfId="106" xr:uid="{00000000-0005-0000-0000-00000D000000}"/>
    <cellStyle name="20% - 강조색1 2" xfId="2" xr:uid="{00000000-0005-0000-0000-00000E000000}"/>
    <cellStyle name="20% - 강조색2 2" xfId="3" xr:uid="{00000000-0005-0000-0000-00000F000000}"/>
    <cellStyle name="20% - 강조색3 2" xfId="4" xr:uid="{00000000-0005-0000-0000-000010000000}"/>
    <cellStyle name="20% - 강조색4 2" xfId="5" xr:uid="{00000000-0005-0000-0000-000011000000}"/>
    <cellStyle name="20% - 강조색5 2" xfId="6" xr:uid="{00000000-0005-0000-0000-000012000000}"/>
    <cellStyle name="20% - 강조색6 2" xfId="7" xr:uid="{00000000-0005-0000-0000-000013000000}"/>
    <cellStyle name="40% - Accent1" xfId="107" xr:uid="{00000000-0005-0000-0000-000014000000}"/>
    <cellStyle name="40% - Accent2" xfId="108" xr:uid="{00000000-0005-0000-0000-000015000000}"/>
    <cellStyle name="40% - Accent3" xfId="109" xr:uid="{00000000-0005-0000-0000-000016000000}"/>
    <cellStyle name="40% - Accent4" xfId="110" xr:uid="{00000000-0005-0000-0000-000017000000}"/>
    <cellStyle name="40% - Accent5" xfId="111" xr:uid="{00000000-0005-0000-0000-000018000000}"/>
    <cellStyle name="40% - Accent6" xfId="112" xr:uid="{00000000-0005-0000-0000-000019000000}"/>
    <cellStyle name="40% - 강조색1 2" xfId="8" xr:uid="{00000000-0005-0000-0000-00001A000000}"/>
    <cellStyle name="40% - 강조색2 2" xfId="9" xr:uid="{00000000-0005-0000-0000-00001B000000}"/>
    <cellStyle name="40% - 강조색3 2" xfId="10" xr:uid="{00000000-0005-0000-0000-00001C000000}"/>
    <cellStyle name="40% - 강조색4 2" xfId="11" xr:uid="{00000000-0005-0000-0000-00001D000000}"/>
    <cellStyle name="40% - 강조색5 2" xfId="12" xr:uid="{00000000-0005-0000-0000-00001E000000}"/>
    <cellStyle name="40% - 강조색6 2" xfId="13" xr:uid="{00000000-0005-0000-0000-00001F000000}"/>
    <cellStyle name="60% - Accent1" xfId="113" xr:uid="{00000000-0005-0000-0000-000020000000}"/>
    <cellStyle name="60% - Accent2" xfId="114" xr:uid="{00000000-0005-0000-0000-000021000000}"/>
    <cellStyle name="60% - Accent3" xfId="115" xr:uid="{00000000-0005-0000-0000-000022000000}"/>
    <cellStyle name="60% - Accent4" xfId="116" xr:uid="{00000000-0005-0000-0000-000023000000}"/>
    <cellStyle name="60% - Accent5" xfId="117" xr:uid="{00000000-0005-0000-0000-000024000000}"/>
    <cellStyle name="60% - Accent6" xfId="118" xr:uid="{00000000-0005-0000-0000-000025000000}"/>
    <cellStyle name="60% - 강조색1 2" xfId="14" xr:uid="{00000000-0005-0000-0000-000026000000}"/>
    <cellStyle name="60% - 강조색2 2" xfId="15" xr:uid="{00000000-0005-0000-0000-000027000000}"/>
    <cellStyle name="60% - 강조색3 2" xfId="16" xr:uid="{00000000-0005-0000-0000-000028000000}"/>
    <cellStyle name="60% - 강조색4 2" xfId="17" xr:uid="{00000000-0005-0000-0000-000029000000}"/>
    <cellStyle name="60% - 강조색5 2" xfId="18" xr:uid="{00000000-0005-0000-0000-00002A000000}"/>
    <cellStyle name="60% - 강조색6 2" xfId="19" xr:uid="{00000000-0005-0000-0000-00002B000000}"/>
    <cellStyle name="Accent1" xfId="119" xr:uid="{00000000-0005-0000-0000-00002C000000}"/>
    <cellStyle name="Accent2" xfId="120" xr:uid="{00000000-0005-0000-0000-00002D000000}"/>
    <cellStyle name="Accent3" xfId="121" xr:uid="{00000000-0005-0000-0000-00002E000000}"/>
    <cellStyle name="Accent4" xfId="122" xr:uid="{00000000-0005-0000-0000-00002F000000}"/>
    <cellStyle name="Accent5" xfId="123" xr:uid="{00000000-0005-0000-0000-000030000000}"/>
    <cellStyle name="Accent6" xfId="124" xr:uid="{00000000-0005-0000-0000-000031000000}"/>
    <cellStyle name="ÅëÈ­ [0]_¸ÅÃâ°ü·Ã¾ç½Ä" xfId="125" xr:uid="{00000000-0005-0000-0000-000032000000}"/>
    <cellStyle name="AeE­ [0]_PERSONAL" xfId="126" xr:uid="{00000000-0005-0000-0000-000033000000}"/>
    <cellStyle name="ÅëÈ­_¸ÅÃâ°ü·Ã¾ç½Ä" xfId="127" xr:uid="{00000000-0005-0000-0000-000034000000}"/>
    <cellStyle name="AeE­_PERSONAL" xfId="128" xr:uid="{00000000-0005-0000-0000-000035000000}"/>
    <cellStyle name="ALIGNMENT" xfId="129" xr:uid="{00000000-0005-0000-0000-000036000000}"/>
    <cellStyle name="ÄÞ¸¶ [0]_¸ÅÃâ°ü·Ã¾ç½Ä" xfId="130" xr:uid="{00000000-0005-0000-0000-000037000000}"/>
    <cellStyle name="ÄÞ¸¶_¸ÅÃâ°ü·Ã¾ç½Ä" xfId="131" xr:uid="{00000000-0005-0000-0000-000038000000}"/>
    <cellStyle name="Bad" xfId="132" xr:uid="{00000000-0005-0000-0000-000039000000}"/>
    <cellStyle name="Ç¥ÁØ_laroux" xfId="133" xr:uid="{00000000-0005-0000-0000-00003A000000}"/>
    <cellStyle name="C￥AØ_PERSONAL" xfId="134" xr:uid="{00000000-0005-0000-0000-00003B000000}"/>
    <cellStyle name="Calculation" xfId="135" xr:uid="{00000000-0005-0000-0000-00003C000000}"/>
    <cellStyle name="category" xfId="136" xr:uid="{00000000-0005-0000-0000-00003D000000}"/>
    <cellStyle name="Check Cell" xfId="137" xr:uid="{00000000-0005-0000-0000-00003E000000}"/>
    <cellStyle name="Comma [0]_ SG&amp;A Bridge " xfId="138" xr:uid="{00000000-0005-0000-0000-00003F000000}"/>
    <cellStyle name="Comma_ SG&amp;A Bridge " xfId="139" xr:uid="{00000000-0005-0000-0000-000040000000}"/>
    <cellStyle name="Currency [0]_ SG&amp;A Bridge " xfId="140" xr:uid="{00000000-0005-0000-0000-000041000000}"/>
    <cellStyle name="Currency_ SG&amp;A Bridge " xfId="141" xr:uid="{00000000-0005-0000-0000-000042000000}"/>
    <cellStyle name="Explanatory Text" xfId="142" xr:uid="{00000000-0005-0000-0000-000043000000}"/>
    <cellStyle name="Good" xfId="143" xr:uid="{00000000-0005-0000-0000-000044000000}"/>
    <cellStyle name="Grey" xfId="144" xr:uid="{00000000-0005-0000-0000-000045000000}"/>
    <cellStyle name="HEADER" xfId="145" xr:uid="{00000000-0005-0000-0000-000046000000}"/>
    <cellStyle name="Header1" xfId="146" xr:uid="{00000000-0005-0000-0000-000047000000}"/>
    <cellStyle name="Header2" xfId="147" xr:uid="{00000000-0005-0000-0000-000048000000}"/>
    <cellStyle name="Heading 1" xfId="148" xr:uid="{00000000-0005-0000-0000-000049000000}"/>
    <cellStyle name="Heading 2" xfId="149" xr:uid="{00000000-0005-0000-0000-00004A000000}"/>
    <cellStyle name="Heading 3" xfId="150" xr:uid="{00000000-0005-0000-0000-00004B000000}"/>
    <cellStyle name="Heading 4" xfId="151" xr:uid="{00000000-0005-0000-0000-00004C000000}"/>
    <cellStyle name="Input" xfId="152" xr:uid="{00000000-0005-0000-0000-00004D000000}"/>
    <cellStyle name="Input [yellow]" xfId="153" xr:uid="{00000000-0005-0000-0000-00004E000000}"/>
    <cellStyle name="Linked Cell" xfId="154" xr:uid="{00000000-0005-0000-0000-00004F000000}"/>
    <cellStyle name="Model" xfId="155" xr:uid="{00000000-0005-0000-0000-000050000000}"/>
    <cellStyle name="Neutral" xfId="156" xr:uid="{00000000-0005-0000-0000-000051000000}"/>
    <cellStyle name="Normal - Style1" xfId="157" xr:uid="{00000000-0005-0000-0000-000052000000}"/>
    <cellStyle name="Normal_ SG&amp;A Bridge " xfId="158" xr:uid="{00000000-0005-0000-0000-000053000000}"/>
    <cellStyle name="Note" xfId="159" xr:uid="{00000000-0005-0000-0000-000054000000}"/>
    <cellStyle name="Output" xfId="160" xr:uid="{00000000-0005-0000-0000-000055000000}"/>
    <cellStyle name="Percent [2]" xfId="161" xr:uid="{00000000-0005-0000-0000-000056000000}"/>
    <cellStyle name="subhead" xfId="162" xr:uid="{00000000-0005-0000-0000-000057000000}"/>
    <cellStyle name="Title" xfId="163" xr:uid="{00000000-0005-0000-0000-000058000000}"/>
    <cellStyle name="Total" xfId="164" xr:uid="{00000000-0005-0000-0000-000059000000}"/>
    <cellStyle name="Warning Text" xfId="165" xr:uid="{00000000-0005-0000-0000-00005A000000}"/>
    <cellStyle name="강조색1 2" xfId="20" xr:uid="{00000000-0005-0000-0000-00005B000000}"/>
    <cellStyle name="강조색2 2" xfId="21" xr:uid="{00000000-0005-0000-0000-00005C000000}"/>
    <cellStyle name="강조색3 2" xfId="22" xr:uid="{00000000-0005-0000-0000-00005D000000}"/>
    <cellStyle name="강조색4 2" xfId="23" xr:uid="{00000000-0005-0000-0000-00005E000000}"/>
    <cellStyle name="강조색5 2" xfId="24" xr:uid="{00000000-0005-0000-0000-00005F000000}"/>
    <cellStyle name="강조색6 2" xfId="25" xr:uid="{00000000-0005-0000-0000-000060000000}"/>
    <cellStyle name="경고문 2" xfId="26" xr:uid="{00000000-0005-0000-0000-000061000000}"/>
    <cellStyle name="계산 2" xfId="27" xr:uid="{00000000-0005-0000-0000-000062000000}"/>
    <cellStyle name="계산 3" xfId="28" xr:uid="{00000000-0005-0000-0000-000063000000}"/>
    <cellStyle name="계산 4" xfId="29" xr:uid="{00000000-0005-0000-0000-000064000000}"/>
    <cellStyle name="나쁨 2" xfId="30" xr:uid="{00000000-0005-0000-0000-000065000000}"/>
    <cellStyle name="똿뗦먛귟 [0.00]_PRODUCT DETAIL Q1" xfId="166" xr:uid="{00000000-0005-0000-0000-000066000000}"/>
    <cellStyle name="똿뗦먛귟_PRODUCT DETAIL Q1" xfId="167" xr:uid="{00000000-0005-0000-0000-000067000000}"/>
    <cellStyle name="메모 2" xfId="31" xr:uid="{00000000-0005-0000-0000-000068000000}"/>
    <cellStyle name="메모 3" xfId="32" xr:uid="{00000000-0005-0000-0000-000069000000}"/>
    <cellStyle name="메모 4" xfId="33" xr:uid="{00000000-0005-0000-0000-00006A000000}"/>
    <cellStyle name="믅됞 [0.00]_PRODUCT DETAIL Q1" xfId="168" xr:uid="{00000000-0005-0000-0000-00006B000000}"/>
    <cellStyle name="믅됞_PRODUCT DETAIL Q1" xfId="169" xr:uid="{00000000-0005-0000-0000-00006C000000}"/>
    <cellStyle name="백분율 2" xfId="34" xr:uid="{00000000-0005-0000-0000-00006D000000}"/>
    <cellStyle name="백분율 3" xfId="35" xr:uid="{00000000-0005-0000-0000-00006E000000}"/>
    <cellStyle name="보통 2" xfId="36" xr:uid="{00000000-0005-0000-0000-00006F000000}"/>
    <cellStyle name="뷭?_BOOKSHIP" xfId="170" xr:uid="{00000000-0005-0000-0000-000070000000}"/>
    <cellStyle name="설명 텍스트 2" xfId="37" xr:uid="{00000000-0005-0000-0000-000071000000}"/>
    <cellStyle name="셀 확인 2" xfId="38" xr:uid="{00000000-0005-0000-0000-000072000000}"/>
    <cellStyle name="쉼표 [0]" xfId="90" builtinId="6"/>
    <cellStyle name="쉼표 [0] 2" xfId="39" xr:uid="{00000000-0005-0000-0000-000074000000}"/>
    <cellStyle name="쉼표 [0] 2 2" xfId="40" xr:uid="{00000000-0005-0000-0000-000075000000}"/>
    <cellStyle name="쉼표 [0] 2 2 2" xfId="41" xr:uid="{00000000-0005-0000-0000-000076000000}"/>
    <cellStyle name="쉼표 [0] 2 2 2 2" xfId="92" xr:uid="{00000000-0005-0000-0000-000077000000}"/>
    <cellStyle name="쉼표 [0] 2 2 2 2 2" xfId="185" xr:uid="{00000000-0005-0000-0000-000078000000}"/>
    <cellStyle name="쉼표 [0] 2 2 2 2 3" xfId="194" xr:uid="{00000000-0005-0000-0000-000079000000}"/>
    <cellStyle name="쉼표 [0] 2 2 2 3" xfId="183" xr:uid="{00000000-0005-0000-0000-00007A000000}"/>
    <cellStyle name="쉼표 [0] 2 2 2 4" xfId="192" xr:uid="{00000000-0005-0000-0000-00007B000000}"/>
    <cellStyle name="쉼표 [0] 2 2 3" xfId="42" xr:uid="{00000000-0005-0000-0000-00007C000000}"/>
    <cellStyle name="쉼표 [0] 2 2 4" xfId="43" xr:uid="{00000000-0005-0000-0000-00007D000000}"/>
    <cellStyle name="쉼표 [0] 2 2 5" xfId="88" xr:uid="{00000000-0005-0000-0000-00007E000000}"/>
    <cellStyle name="쉼표 [0] 2 2 6" xfId="181" xr:uid="{00000000-0005-0000-0000-00007F000000}"/>
    <cellStyle name="쉼표 [0] 2 2 7" xfId="190" xr:uid="{00000000-0005-0000-0000-000080000000}"/>
    <cellStyle name="쉼표 [0] 2 3" xfId="44" xr:uid="{00000000-0005-0000-0000-000081000000}"/>
    <cellStyle name="쉼표 [0] 2 3 2" xfId="45" xr:uid="{00000000-0005-0000-0000-000082000000}"/>
    <cellStyle name="쉼표 [0] 2 4" xfId="46" xr:uid="{00000000-0005-0000-0000-000083000000}"/>
    <cellStyle name="쉼표 [0] 2 5" xfId="47" xr:uid="{00000000-0005-0000-0000-000084000000}"/>
    <cellStyle name="쉼표 [0] 2 5 2" xfId="48" xr:uid="{00000000-0005-0000-0000-000085000000}"/>
    <cellStyle name="쉼표 [0] 2 6" xfId="171" xr:uid="{00000000-0005-0000-0000-000086000000}"/>
    <cellStyle name="쉼표 [0] 2 7" xfId="180" xr:uid="{00000000-0005-0000-0000-000087000000}"/>
    <cellStyle name="쉼표 [0] 2 72" xfId="49" xr:uid="{00000000-0005-0000-0000-000088000000}"/>
    <cellStyle name="쉼표 [0] 2 72 2" xfId="179" xr:uid="{00000000-0005-0000-0000-000089000000}"/>
    <cellStyle name="쉼표 [0] 2 72 3" xfId="188" xr:uid="{00000000-0005-0000-0000-00008A000000}"/>
    <cellStyle name="쉼표 [0] 2 8" xfId="189" xr:uid="{00000000-0005-0000-0000-00008B000000}"/>
    <cellStyle name="쉼표 [0] 3" xfId="50" xr:uid="{00000000-0005-0000-0000-00008C000000}"/>
    <cellStyle name="쉼표 [0] 3 2" xfId="51" xr:uid="{00000000-0005-0000-0000-00008D000000}"/>
    <cellStyle name="쉼표 [0] 3 3" xfId="52" xr:uid="{00000000-0005-0000-0000-00008E000000}"/>
    <cellStyle name="쉼표 [0] 3 4" xfId="91" xr:uid="{00000000-0005-0000-0000-00008F000000}"/>
    <cellStyle name="쉼표 [0] 3 5" xfId="182" xr:uid="{00000000-0005-0000-0000-000090000000}"/>
    <cellStyle name="쉼표 [0] 3 6" xfId="191" xr:uid="{00000000-0005-0000-0000-000091000000}"/>
    <cellStyle name="쉼표 [0] 4" xfId="53" xr:uid="{00000000-0005-0000-0000-000092000000}"/>
    <cellStyle name="쉼표 [0] 4 2" xfId="187" xr:uid="{00000000-0005-0000-0000-000093000000}"/>
    <cellStyle name="쉼표 [0] 4 3" xfId="196" xr:uid="{00000000-0005-0000-0000-000094000000}"/>
    <cellStyle name="쉼표 [0] 5" xfId="54" xr:uid="{00000000-0005-0000-0000-000095000000}"/>
    <cellStyle name="쉼표 [0] 6" xfId="184" xr:uid="{00000000-0005-0000-0000-000096000000}"/>
    <cellStyle name="쉼표 [0] 7" xfId="193" xr:uid="{00000000-0005-0000-0000-000097000000}"/>
    <cellStyle name="스타일 1" xfId="172" xr:uid="{00000000-0005-0000-0000-000098000000}"/>
    <cellStyle name="연결된 셀 2" xfId="55" xr:uid="{00000000-0005-0000-0000-000099000000}"/>
    <cellStyle name="요약 2" xfId="56" xr:uid="{00000000-0005-0000-0000-00009A000000}"/>
    <cellStyle name="요약 3" xfId="57" xr:uid="{00000000-0005-0000-0000-00009B000000}"/>
    <cellStyle name="요약 4" xfId="58" xr:uid="{00000000-0005-0000-0000-00009C000000}"/>
    <cellStyle name="원" xfId="173" xr:uid="{00000000-0005-0000-0000-00009D000000}"/>
    <cellStyle name="입력 2" xfId="59" xr:uid="{00000000-0005-0000-0000-00009E000000}"/>
    <cellStyle name="입력 3" xfId="60" xr:uid="{00000000-0005-0000-0000-00009F000000}"/>
    <cellStyle name="입력 4" xfId="61" xr:uid="{00000000-0005-0000-0000-0000A0000000}"/>
    <cellStyle name="제목 1 2" xfId="62" xr:uid="{00000000-0005-0000-0000-0000A1000000}"/>
    <cellStyle name="제목 2 2" xfId="63" xr:uid="{00000000-0005-0000-0000-0000A2000000}"/>
    <cellStyle name="제목 3 2" xfId="64" xr:uid="{00000000-0005-0000-0000-0000A3000000}"/>
    <cellStyle name="제목 4 2" xfId="65" xr:uid="{00000000-0005-0000-0000-0000A4000000}"/>
    <cellStyle name="제목 5" xfId="66" xr:uid="{00000000-0005-0000-0000-0000A5000000}"/>
    <cellStyle name="좋음 2" xfId="67" xr:uid="{00000000-0005-0000-0000-0000A6000000}"/>
    <cellStyle name="출력 2" xfId="68" xr:uid="{00000000-0005-0000-0000-0000A7000000}"/>
    <cellStyle name="출력 3" xfId="69" xr:uid="{00000000-0005-0000-0000-0000A8000000}"/>
    <cellStyle name="출력 4" xfId="70" xr:uid="{00000000-0005-0000-0000-0000A9000000}"/>
    <cellStyle name="콤마 [0]_  RANGE " xfId="174" xr:uid="{00000000-0005-0000-0000-0000AA000000}"/>
    <cellStyle name="콤마_  RANGE " xfId="175" xr:uid="{00000000-0005-0000-0000-0000AB000000}"/>
    <cellStyle name="통화 [0] 2" xfId="71" xr:uid="{00000000-0005-0000-0000-0000AC000000}"/>
    <cellStyle name="통화 [0] 2 2" xfId="176" xr:uid="{00000000-0005-0000-0000-0000AD000000}"/>
    <cellStyle name="통화 [0] 2 3" xfId="186" xr:uid="{00000000-0005-0000-0000-0000AE000000}"/>
    <cellStyle name="통화 [0] 2 4" xfId="195" xr:uid="{00000000-0005-0000-0000-0000AF000000}"/>
    <cellStyle name="표준" xfId="0" builtinId="0"/>
    <cellStyle name="표준 132" xfId="89" xr:uid="{00000000-0005-0000-0000-0000B1000000}"/>
    <cellStyle name="표준 2" xfId="72" xr:uid="{00000000-0005-0000-0000-0000B2000000}"/>
    <cellStyle name="표준 2 2" xfId="73" xr:uid="{00000000-0005-0000-0000-0000B3000000}"/>
    <cellStyle name="표준 2 2 2" xfId="74" xr:uid="{00000000-0005-0000-0000-0000B4000000}"/>
    <cellStyle name="표준 2 2 3" xfId="75" xr:uid="{00000000-0005-0000-0000-0000B5000000}"/>
    <cellStyle name="표준 2 3" xfId="76" xr:uid="{00000000-0005-0000-0000-0000B6000000}"/>
    <cellStyle name="표준 2 4" xfId="177" xr:uid="{00000000-0005-0000-0000-0000B7000000}"/>
    <cellStyle name="표준 2 7 2" xfId="77" xr:uid="{00000000-0005-0000-0000-0000B8000000}"/>
    <cellStyle name="표준 2 9 2" xfId="78" xr:uid="{00000000-0005-0000-0000-0000B9000000}"/>
    <cellStyle name="표준 3" xfId="79" xr:uid="{00000000-0005-0000-0000-0000BA000000}"/>
    <cellStyle name="표준 3 2" xfId="80" xr:uid="{00000000-0005-0000-0000-0000BB000000}"/>
    <cellStyle name="표준 3 3" xfId="81" xr:uid="{00000000-0005-0000-0000-0000BC000000}"/>
    <cellStyle name="표준 4" xfId="82" xr:uid="{00000000-0005-0000-0000-0000BD000000}"/>
    <cellStyle name="표준 4 2" xfId="1" xr:uid="{00000000-0005-0000-0000-0000BE000000}"/>
    <cellStyle name="표준 5" xfId="83" xr:uid="{00000000-0005-0000-0000-0000BF000000}"/>
    <cellStyle name="표준 5 2" xfId="84" xr:uid="{00000000-0005-0000-0000-0000C0000000}"/>
    <cellStyle name="표준 6" xfId="85" xr:uid="{00000000-0005-0000-0000-0000C1000000}"/>
    <cellStyle name="표준 6 2" xfId="178" xr:uid="{00000000-0005-0000-0000-0000C2000000}"/>
    <cellStyle name="표준 7" xfId="86" xr:uid="{00000000-0005-0000-0000-0000C3000000}"/>
    <cellStyle name="표준 7 2" xfId="197" xr:uid="{00000000-0005-0000-0000-0000C4000000}"/>
    <cellStyle name="표준 8" xfId="87" xr:uid="{00000000-0005-0000-0000-0000C5000000}"/>
  </cellStyles>
  <dxfs count="7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>
    <pageSetUpPr fitToPage="1"/>
  </sheetPr>
  <dimension ref="A1:AC26"/>
  <sheetViews>
    <sheetView tabSelected="1" zoomScale="130" zoomScaleNormal="130" workbookViewId="0">
      <pane ySplit="2" topLeftCell="A3" activePane="bottomLeft" state="frozen"/>
      <selection activeCell="T13" sqref="T13:Y13"/>
      <selection pane="bottomLeft" activeCell="E14" sqref="E14"/>
    </sheetView>
  </sheetViews>
  <sheetFormatPr defaultRowHeight="16.5"/>
  <cols>
    <col min="2" max="2" width="11.375" customWidth="1"/>
    <col min="3" max="3" width="14.375" style="7" bestFit="1" customWidth="1"/>
    <col min="4" max="4" width="14.375" style="33" customWidth="1"/>
    <col min="5" max="5" width="27.25" style="10" customWidth="1"/>
    <col min="6" max="6" width="15.5" style="10" customWidth="1"/>
    <col min="7" max="7" width="15.375" customWidth="1"/>
    <col min="8" max="9" width="10.875" bestFit="1" customWidth="1"/>
    <col min="19" max="20" width="10.875" bestFit="1" customWidth="1"/>
    <col min="21" max="21" width="9.375" bestFit="1" customWidth="1"/>
  </cols>
  <sheetData>
    <row r="1" spans="1:29" ht="38.25" customHeight="1">
      <c r="A1" s="96" t="s">
        <v>42</v>
      </c>
      <c r="B1" s="96"/>
      <c r="C1" s="96"/>
      <c r="D1" s="96"/>
      <c r="E1" s="96"/>
      <c r="F1" s="38"/>
      <c r="G1" s="25"/>
    </row>
    <row r="2" spans="1:29" ht="20.25" customHeight="1">
      <c r="C2" s="8" t="s">
        <v>16</v>
      </c>
      <c r="D2" s="30" t="s">
        <v>43</v>
      </c>
      <c r="E2" s="8" t="s">
        <v>40</v>
      </c>
      <c r="F2" s="8" t="s">
        <v>39</v>
      </c>
      <c r="G2" s="26"/>
    </row>
    <row r="3" spans="1:29" ht="23.25" customHeight="1">
      <c r="A3" s="40">
        <v>1</v>
      </c>
      <c r="B3" s="41" t="str">
        <f>이영숙!T19</f>
        <v>이영숙</v>
      </c>
      <c r="C3" s="94">
        <f>이영숙!T17</f>
        <v>-0.36515420023351908</v>
      </c>
      <c r="D3" s="42">
        <v>0</v>
      </c>
      <c r="E3" s="43">
        <f>C3-D3</f>
        <v>-0.36515420023351908</v>
      </c>
      <c r="F3" s="44" t="s">
        <v>41</v>
      </c>
      <c r="G3" s="10"/>
    </row>
    <row r="4" spans="1:29" s="24" customFormat="1" ht="23.25" customHeight="1">
      <c r="A4" s="40">
        <v>2</v>
      </c>
      <c r="B4" s="41" t="str">
        <f>신향화!T19</f>
        <v>신향화</v>
      </c>
      <c r="C4" s="94">
        <f>신향화!T17</f>
        <v>0.27717539994046092</v>
      </c>
      <c r="D4" s="45">
        <v>0</v>
      </c>
      <c r="E4" s="43">
        <f t="shared" ref="E4:E13" si="0">C4-D4</f>
        <v>0.27717539994046092</v>
      </c>
      <c r="F4" s="44" t="s">
        <v>41</v>
      </c>
      <c r="G4" s="10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29" ht="23.25" customHeight="1">
      <c r="A5" s="40">
        <v>3</v>
      </c>
      <c r="B5" s="41" t="str">
        <f>강정희!T19</f>
        <v>강정희</v>
      </c>
      <c r="C5" s="94">
        <f>강정희!T17</f>
        <v>-0.35249920003116131</v>
      </c>
      <c r="D5" s="45">
        <v>0</v>
      </c>
      <c r="E5" s="43">
        <f t="shared" si="0"/>
        <v>-0.35249920003116131</v>
      </c>
      <c r="F5" s="44" t="s">
        <v>41</v>
      </c>
      <c r="G5" s="10"/>
    </row>
    <row r="6" spans="1:29" ht="23.25" customHeight="1">
      <c r="A6" s="40">
        <v>4</v>
      </c>
      <c r="B6" s="41" t="str">
        <f>박미순!T19</f>
        <v>박미순</v>
      </c>
      <c r="C6" s="94">
        <f>박미순!T17</f>
        <v>0.34793379995971918</v>
      </c>
      <c r="D6" s="45">
        <v>0</v>
      </c>
      <c r="E6" s="43">
        <f t="shared" si="0"/>
        <v>0.34793379995971918</v>
      </c>
      <c r="F6" s="44" t="s">
        <v>41</v>
      </c>
      <c r="G6" s="10"/>
    </row>
    <row r="7" spans="1:29" ht="23.25" customHeight="1">
      <c r="A7" s="40">
        <v>5</v>
      </c>
      <c r="B7" s="41" t="str">
        <f>이진희!T19</f>
        <v>이진희</v>
      </c>
      <c r="C7" s="94">
        <f>이진희!T17</f>
        <v>-0.19777899980545044</v>
      </c>
      <c r="D7" s="45">
        <v>0</v>
      </c>
      <c r="E7" s="43">
        <f t="shared" si="0"/>
        <v>-0.19777899980545044</v>
      </c>
      <c r="F7" s="44" t="s">
        <v>41</v>
      </c>
      <c r="G7" s="10"/>
    </row>
    <row r="8" spans="1:29" ht="23.25" customHeight="1">
      <c r="A8" s="40">
        <v>6</v>
      </c>
      <c r="B8" s="41" t="str">
        <f>류경화!T19</f>
        <v>류경화</v>
      </c>
      <c r="C8" s="94">
        <f>류경화!T17</f>
        <v>-0.20904320012778044</v>
      </c>
      <c r="D8" s="45">
        <v>0</v>
      </c>
      <c r="E8" s="43">
        <f t="shared" si="0"/>
        <v>-0.20904320012778044</v>
      </c>
      <c r="F8" s="44" t="s">
        <v>41</v>
      </c>
      <c r="G8" s="10"/>
    </row>
    <row r="9" spans="1:29" ht="23.25" customHeight="1">
      <c r="A9" s="40">
        <v>7</v>
      </c>
      <c r="B9" s="41" t="str">
        <f>임연숙!T19</f>
        <v>임연숙</v>
      </c>
      <c r="C9" s="94">
        <f>임연숙!T17</f>
        <v>-0.20904320012778044</v>
      </c>
      <c r="D9" s="45">
        <v>0</v>
      </c>
      <c r="E9" s="43">
        <f t="shared" si="0"/>
        <v>-0.20904320012778044</v>
      </c>
      <c r="F9" s="44" t="s">
        <v>41</v>
      </c>
      <c r="G9" s="10"/>
    </row>
    <row r="10" spans="1:29" ht="23.25" customHeight="1">
      <c r="A10" s="40">
        <v>8</v>
      </c>
      <c r="B10" s="41" t="str">
        <f>선두녀!T19</f>
        <v>선두녀</v>
      </c>
      <c r="C10" s="94">
        <f>선두녀!T17</f>
        <v>-0.11571739986538887</v>
      </c>
      <c r="D10" s="45">
        <v>0</v>
      </c>
      <c r="E10" s="43">
        <f t="shared" si="0"/>
        <v>-0.11571739986538887</v>
      </c>
      <c r="F10" s="44" t="s">
        <v>41</v>
      </c>
      <c r="G10" s="36"/>
      <c r="H10" s="21"/>
      <c r="I10" s="21"/>
      <c r="J10" s="21"/>
      <c r="K10" s="21"/>
      <c r="L10" s="22"/>
      <c r="M10" s="23"/>
      <c r="N10" s="21"/>
      <c r="O10" s="21"/>
      <c r="P10" s="21"/>
      <c r="Q10" s="21"/>
      <c r="R10" s="21"/>
      <c r="S10" s="23"/>
      <c r="T10" s="21"/>
      <c r="U10" s="21"/>
      <c r="V10" s="21"/>
      <c r="W10" s="21"/>
      <c r="X10" s="21"/>
      <c r="Y10" s="22"/>
      <c r="Z10" s="23"/>
      <c r="AA10" s="21"/>
      <c r="AB10" s="21"/>
      <c r="AC10" s="21"/>
    </row>
    <row r="11" spans="1:29" ht="23.25" customHeight="1">
      <c r="A11" s="40">
        <v>9</v>
      </c>
      <c r="B11" s="41" t="str">
        <f>김연아!T19</f>
        <v>김연아</v>
      </c>
      <c r="C11" s="94">
        <f>김연아!T17</f>
        <v>-0.23660599999129772</v>
      </c>
      <c r="D11" s="45">
        <v>0</v>
      </c>
      <c r="E11" s="43">
        <f t="shared" si="0"/>
        <v>-0.23660599999129772</v>
      </c>
      <c r="F11" s="44" t="s">
        <v>41</v>
      </c>
      <c r="G11" s="36"/>
      <c r="H11" s="21"/>
      <c r="I11" s="21"/>
      <c r="J11" s="21"/>
      <c r="K11" s="21"/>
      <c r="L11" s="22"/>
      <c r="M11" s="23"/>
      <c r="N11" s="21"/>
      <c r="O11" s="21"/>
      <c r="P11" s="21"/>
      <c r="Q11" s="21"/>
      <c r="R11" s="21"/>
      <c r="S11" s="23"/>
      <c r="T11" s="21"/>
      <c r="U11" s="21"/>
      <c r="V11" s="21"/>
      <c r="W11" s="21"/>
      <c r="X11" s="21"/>
      <c r="Y11" s="22"/>
      <c r="Z11" s="23"/>
      <c r="AA11" s="21"/>
      <c r="AB11" s="21"/>
      <c r="AC11" s="21"/>
    </row>
    <row r="12" spans="1:29" ht="23.25" customHeight="1">
      <c r="A12" s="40">
        <v>10</v>
      </c>
      <c r="B12" s="41" t="str">
        <f>조행연!T19</f>
        <v>조행연</v>
      </c>
      <c r="C12" s="94">
        <f>조행연!T17</f>
        <v>4.039360024034977E-2</v>
      </c>
      <c r="D12" s="45">
        <v>0</v>
      </c>
      <c r="E12" s="43">
        <f t="shared" ref="E12" si="1">C12-D12</f>
        <v>4.039360024034977E-2</v>
      </c>
      <c r="F12" s="44" t="s">
        <v>41</v>
      </c>
      <c r="G12" s="36"/>
      <c r="H12" s="21"/>
      <c r="I12" s="21"/>
      <c r="J12" s="21"/>
      <c r="K12" s="21"/>
      <c r="L12" s="22"/>
      <c r="M12" s="23"/>
      <c r="N12" s="21"/>
      <c r="O12" s="21"/>
      <c r="P12" s="21"/>
      <c r="Q12" s="21"/>
      <c r="R12" s="21"/>
      <c r="S12" s="23"/>
      <c r="T12" s="21"/>
      <c r="U12" s="21"/>
      <c r="V12" s="21"/>
      <c r="W12" s="21"/>
      <c r="X12" s="21"/>
      <c r="Y12" s="22"/>
      <c r="Z12" s="23"/>
      <c r="AA12" s="21"/>
      <c r="AB12" s="21"/>
      <c r="AC12" s="21"/>
    </row>
    <row r="13" spans="1:29" ht="23.25" customHeight="1">
      <c r="A13" s="5">
        <v>11</v>
      </c>
      <c r="B13" s="16" t="str">
        <f>김성경!T19</f>
        <v>김성경</v>
      </c>
      <c r="C13" s="11">
        <f>김성경!T17</f>
        <v>2346365.5938639999</v>
      </c>
      <c r="D13" s="31">
        <v>2346366</v>
      </c>
      <c r="E13" s="29">
        <f t="shared" si="0"/>
        <v>-0.40613600006327033</v>
      </c>
      <c r="F13" s="39" t="s">
        <v>78</v>
      </c>
      <c r="G13" s="36"/>
      <c r="H13" s="21"/>
      <c r="I13" s="21"/>
      <c r="J13" s="21"/>
      <c r="K13" s="21"/>
      <c r="L13" s="22"/>
      <c r="M13" s="23"/>
      <c r="N13" s="21"/>
      <c r="O13" s="21"/>
      <c r="P13" s="21"/>
      <c r="Q13" s="21"/>
      <c r="R13" s="21"/>
      <c r="S13" s="23"/>
      <c r="T13" s="21"/>
      <c r="U13" s="21"/>
      <c r="V13" s="21"/>
      <c r="W13" s="21"/>
      <c r="X13" s="21"/>
      <c r="Y13" s="22"/>
      <c r="Z13" s="23"/>
      <c r="AA13" s="21"/>
      <c r="AB13" s="21"/>
      <c r="AC13" s="21"/>
    </row>
    <row r="14" spans="1:29" s="6" customFormat="1" ht="22.5" customHeight="1">
      <c r="A14" s="95" t="s">
        <v>18</v>
      </c>
      <c r="B14" s="95"/>
      <c r="C14" s="28">
        <f>SUM(C3:C13)</f>
        <v>2346364.5735245999</v>
      </c>
      <c r="D14" s="28">
        <f>SUM(D3:D13)</f>
        <v>2346366</v>
      </c>
      <c r="E14" s="29">
        <f>C14-D14</f>
        <v>-1.4264754001051188</v>
      </c>
      <c r="F14" s="39"/>
      <c r="G14" s="37"/>
      <c r="H14" s="1"/>
      <c r="I14" s="1"/>
      <c r="J14" s="1"/>
      <c r="K14" s="1"/>
      <c r="L14" s="27"/>
      <c r="N14" s="1"/>
      <c r="O14" s="1"/>
      <c r="P14" s="1"/>
      <c r="Q14" s="1"/>
      <c r="R14" s="1"/>
      <c r="T14" s="1"/>
      <c r="U14" s="1"/>
      <c r="V14" s="1"/>
      <c r="W14" s="1"/>
      <c r="X14" s="1"/>
      <c r="Y14" s="27"/>
      <c r="AA14" s="1"/>
      <c r="AB14" s="1"/>
      <c r="AC14" s="1"/>
    </row>
    <row r="15" spans="1:29">
      <c r="C15" s="19"/>
      <c r="D15" s="32"/>
      <c r="E15" s="29"/>
      <c r="F15" s="39"/>
      <c r="G15" s="21"/>
      <c r="H15" s="21"/>
      <c r="I15" s="21"/>
      <c r="J15" s="21"/>
      <c r="K15" s="21"/>
      <c r="L15" s="22"/>
      <c r="M15" s="23"/>
      <c r="N15" s="21"/>
      <c r="O15" s="21"/>
      <c r="P15" s="21"/>
      <c r="Q15" s="21"/>
      <c r="R15" s="21"/>
      <c r="S15" s="23"/>
      <c r="T15" s="21"/>
      <c r="U15" s="21"/>
      <c r="V15" s="21"/>
      <c r="W15" s="21"/>
      <c r="X15" s="21"/>
      <c r="Y15" s="22"/>
      <c r="Z15" s="23"/>
      <c r="AA15" s="21"/>
      <c r="AB15" s="21"/>
      <c r="AC15" s="21"/>
    </row>
    <row r="16" spans="1:29">
      <c r="C16" s="19"/>
      <c r="D16" s="32"/>
      <c r="E16" s="20"/>
      <c r="F16" s="20"/>
      <c r="G16" s="21"/>
      <c r="H16" s="21"/>
      <c r="I16" s="21"/>
      <c r="J16" s="21"/>
      <c r="K16" s="21"/>
      <c r="L16" s="22"/>
      <c r="M16" s="23"/>
      <c r="N16" s="21"/>
      <c r="O16" s="21"/>
      <c r="P16" s="21"/>
      <c r="Q16" s="21"/>
      <c r="R16" s="21"/>
      <c r="S16" s="23"/>
      <c r="T16" s="21"/>
      <c r="U16" s="21"/>
      <c r="V16" s="21"/>
      <c r="W16" s="21"/>
      <c r="X16" s="21"/>
      <c r="Y16" s="22"/>
      <c r="Z16" s="23"/>
      <c r="AA16" s="21"/>
      <c r="AB16" s="21"/>
      <c r="AC16" s="21"/>
    </row>
    <row r="19" spans="8:21">
      <c r="H19" s="10"/>
      <c r="I19" s="10"/>
      <c r="J19" s="10"/>
    </row>
    <row r="26" spans="8:21">
      <c r="S26" s="10"/>
      <c r="T26" s="10"/>
      <c r="U26" s="10"/>
    </row>
  </sheetData>
  <mergeCells count="2">
    <mergeCell ref="A14:B14"/>
    <mergeCell ref="A1:E1"/>
  </mergeCells>
  <phoneticPr fontId="2" type="noConversion"/>
  <conditionalFormatting sqref="B7">
    <cfRule type="duplicateValues" dxfId="6" priority="4"/>
  </conditionalFormatting>
  <conditionalFormatting sqref="B11:B12">
    <cfRule type="duplicateValues" dxfId="5" priority="1"/>
  </conditionalFormatting>
  <conditionalFormatting sqref="B13">
    <cfRule type="duplicateValues" dxfId="4" priority="5"/>
  </conditionalFormatting>
  <conditionalFormatting sqref="B14:B1048576 B2:B6 B8:B10">
    <cfRule type="duplicateValues" dxfId="3" priority="1152"/>
  </conditionalFormatting>
  <pageMargins left="0.7" right="0.7" top="0.75" bottom="0.75" header="0.3" footer="0.3"/>
  <pageSetup paperSize="9" scale="9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J30"/>
  <sheetViews>
    <sheetView showGridLines="0" showZeros="0" zoomScale="90" zoomScaleNormal="90" workbookViewId="0">
      <selection activeCell="H35" sqref="H35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9" customWidth="1"/>
    <col min="32" max="34" width="4.625" style="9" hidden="1" customWidth="1"/>
    <col min="35" max="35" width="6" style="1" customWidth="1"/>
    <col min="36" max="36" width="4.25" style="1" customWidth="1"/>
    <col min="37" max="38" width="3.75" style="1" customWidth="1"/>
    <col min="39" max="62" width="3.25" style="1" customWidth="1"/>
    <col min="63" max="65" width="2.125" style="1" customWidth="1"/>
    <col min="66" max="16384" width="3.625" style="1"/>
  </cols>
  <sheetData>
    <row r="1" spans="2:36" ht="16.5" customHeight="1">
      <c r="B1" s="149" t="s">
        <v>46</v>
      </c>
      <c r="C1" s="149"/>
      <c r="D1" s="149"/>
      <c r="E1" s="149"/>
      <c r="F1" s="149"/>
      <c r="G1" s="149"/>
    </row>
    <row r="2" spans="2:36" ht="17.25" customHeight="1" thickBot="1">
      <c r="B2" s="150"/>
      <c r="C2" s="150"/>
      <c r="D2" s="150"/>
      <c r="E2" s="150"/>
      <c r="F2" s="150"/>
      <c r="G2" s="150"/>
    </row>
    <row r="3" spans="2:36" ht="16.5">
      <c r="B3" s="151" t="s">
        <v>0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 t="s">
        <v>1</v>
      </c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3"/>
    </row>
    <row r="4" spans="2:36" ht="16.5" customHeight="1">
      <c r="B4" s="135" t="s">
        <v>2</v>
      </c>
      <c r="C4" s="136"/>
      <c r="D4" s="136"/>
      <c r="E4" s="136"/>
      <c r="F4" s="136"/>
      <c r="G4" s="137"/>
      <c r="H4" s="148">
        <f>AI25</f>
        <v>190</v>
      </c>
      <c r="I4" s="148"/>
      <c r="J4" s="148"/>
      <c r="K4" s="117">
        <f>H4*10320</f>
        <v>1960800</v>
      </c>
      <c r="L4" s="117"/>
      <c r="M4" s="117"/>
      <c r="N4" s="137" t="s">
        <v>29</v>
      </c>
      <c r="O4" s="142"/>
      <c r="P4" s="142"/>
      <c r="Q4" s="142"/>
      <c r="R4" s="142"/>
      <c r="S4" s="143"/>
      <c r="T4" s="126">
        <v>99750</v>
      </c>
      <c r="U4" s="127"/>
      <c r="V4" s="127"/>
      <c r="W4" s="127"/>
      <c r="X4" s="127"/>
      <c r="Y4" s="144"/>
    </row>
    <row r="5" spans="2:36" ht="16.5" customHeight="1">
      <c r="B5" s="141" t="s">
        <v>3</v>
      </c>
      <c r="C5" s="142"/>
      <c r="D5" s="142"/>
      <c r="E5" s="142"/>
      <c r="F5" s="142"/>
      <c r="G5" s="143"/>
      <c r="H5" s="148">
        <f>AI26</f>
        <v>14</v>
      </c>
      <c r="I5" s="148"/>
      <c r="J5" s="148"/>
      <c r="K5" s="117">
        <f>H5*10320*1.5</f>
        <v>216720</v>
      </c>
      <c r="L5" s="117"/>
      <c r="M5" s="117"/>
      <c r="N5" s="137" t="s">
        <v>30</v>
      </c>
      <c r="O5" s="142"/>
      <c r="P5" s="142"/>
      <c r="Q5" s="142"/>
      <c r="R5" s="142"/>
      <c r="S5" s="143"/>
      <c r="T5" s="126">
        <f>H17*3.595%</f>
        <v>95078.403000000006</v>
      </c>
      <c r="U5" s="127"/>
      <c r="V5" s="127"/>
      <c r="W5" s="127"/>
      <c r="X5" s="127"/>
      <c r="Y5" s="144"/>
    </row>
    <row r="6" spans="2:36" ht="16.5" customHeight="1">
      <c r="B6" s="141" t="s">
        <v>4</v>
      </c>
      <c r="C6" s="142"/>
      <c r="D6" s="142"/>
      <c r="E6" s="142"/>
      <c r="F6" s="142"/>
      <c r="G6" s="143"/>
      <c r="H6" s="148"/>
      <c r="I6" s="148"/>
      <c r="J6" s="148"/>
      <c r="K6" s="117"/>
      <c r="L6" s="117"/>
      <c r="M6" s="117"/>
      <c r="N6" s="137" t="s">
        <v>17</v>
      </c>
      <c r="O6" s="142"/>
      <c r="P6" s="142"/>
      <c r="Q6" s="142"/>
      <c r="R6" s="142"/>
      <c r="S6" s="143"/>
      <c r="T6" s="126">
        <f>T5*13.14%</f>
        <v>12493.302154200002</v>
      </c>
      <c r="U6" s="127"/>
      <c r="V6" s="127"/>
      <c r="W6" s="127"/>
      <c r="X6" s="127"/>
      <c r="Y6" s="144"/>
      <c r="AJ6" s="47"/>
    </row>
    <row r="7" spans="2:36" ht="16.5" customHeight="1">
      <c r="B7" s="141" t="s">
        <v>5</v>
      </c>
      <c r="C7" s="142"/>
      <c r="D7" s="142"/>
      <c r="E7" s="142"/>
      <c r="F7" s="142"/>
      <c r="G7" s="143"/>
      <c r="H7" s="148">
        <f>AI27</f>
        <v>24</v>
      </c>
      <c r="I7" s="148"/>
      <c r="J7" s="148"/>
      <c r="K7" s="117">
        <f>H7*10320*1.5</f>
        <v>371520</v>
      </c>
      <c r="L7" s="117"/>
      <c r="M7" s="117"/>
      <c r="N7" s="137" t="s">
        <v>31</v>
      </c>
      <c r="O7" s="142"/>
      <c r="P7" s="142"/>
      <c r="Q7" s="142"/>
      <c r="R7" s="142"/>
      <c r="S7" s="143"/>
      <c r="T7" s="126">
        <f>H17*0.9%</f>
        <v>23802.660000000003</v>
      </c>
      <c r="U7" s="127"/>
      <c r="V7" s="127"/>
      <c r="W7" s="127"/>
      <c r="X7" s="127"/>
      <c r="Y7" s="144"/>
      <c r="AJ7" s="47"/>
    </row>
    <row r="8" spans="2:36" ht="16.5" customHeight="1">
      <c r="B8" s="141" t="s">
        <v>6</v>
      </c>
      <c r="C8" s="142"/>
      <c r="D8" s="142"/>
      <c r="E8" s="142"/>
      <c r="F8" s="142"/>
      <c r="G8" s="143"/>
      <c r="H8" s="145"/>
      <c r="I8" s="146"/>
      <c r="J8" s="147"/>
      <c r="K8" s="126">
        <f>H8*9860*2</f>
        <v>0</v>
      </c>
      <c r="L8" s="127"/>
      <c r="M8" s="128"/>
      <c r="N8" s="137" t="s">
        <v>32</v>
      </c>
      <c r="O8" s="142"/>
      <c r="P8" s="142"/>
      <c r="Q8" s="142"/>
      <c r="R8" s="142"/>
      <c r="S8" s="143"/>
      <c r="T8" s="126">
        <v>43110</v>
      </c>
      <c r="U8" s="127"/>
      <c r="V8" s="127"/>
      <c r="W8" s="127"/>
      <c r="X8" s="127"/>
      <c r="Y8" s="144"/>
      <c r="AJ8" s="47"/>
    </row>
    <row r="9" spans="2:36" ht="16.5" customHeight="1">
      <c r="B9" s="141" t="s">
        <v>28</v>
      </c>
      <c r="C9" s="142"/>
      <c r="D9" s="142"/>
      <c r="E9" s="142"/>
      <c r="F9" s="142"/>
      <c r="G9" s="143"/>
      <c r="H9" s="145">
        <f>AI29</f>
        <v>0</v>
      </c>
      <c r="I9" s="146"/>
      <c r="J9" s="147"/>
      <c r="K9" s="117"/>
      <c r="L9" s="117"/>
      <c r="M9" s="117"/>
      <c r="N9" s="136" t="s">
        <v>33</v>
      </c>
      <c r="O9" s="136"/>
      <c r="P9" s="136"/>
      <c r="Q9" s="136"/>
      <c r="R9" s="136"/>
      <c r="S9" s="136"/>
      <c r="T9" s="126">
        <f>T8*10%</f>
        <v>4311</v>
      </c>
      <c r="U9" s="127"/>
      <c r="V9" s="127"/>
      <c r="W9" s="127"/>
      <c r="X9" s="127"/>
      <c r="Y9" s="144"/>
      <c r="AJ9" s="9"/>
    </row>
    <row r="10" spans="2:36" ht="16.5" customHeight="1">
      <c r="B10" s="141" t="s">
        <v>35</v>
      </c>
      <c r="C10" s="142"/>
      <c r="D10" s="142"/>
      <c r="E10" s="142"/>
      <c r="F10" s="142"/>
      <c r="G10" s="143"/>
      <c r="H10" s="126">
        <v>81700</v>
      </c>
      <c r="I10" s="127"/>
      <c r="J10" s="127"/>
      <c r="K10" s="127"/>
      <c r="L10" s="127"/>
      <c r="M10" s="128"/>
      <c r="N10" s="136" t="s">
        <v>63</v>
      </c>
      <c r="O10" s="136"/>
      <c r="P10" s="136"/>
      <c r="Q10" s="136"/>
      <c r="R10" s="136"/>
      <c r="S10" s="136"/>
      <c r="T10" s="117">
        <v>2463345</v>
      </c>
      <c r="U10" s="117"/>
      <c r="V10" s="117"/>
      <c r="W10" s="117"/>
      <c r="X10" s="117"/>
      <c r="Y10" s="118"/>
      <c r="Z10" s="2"/>
      <c r="AA10" s="2"/>
    </row>
    <row r="11" spans="2:36" ht="16.5" customHeight="1">
      <c r="B11" s="141" t="s">
        <v>59</v>
      </c>
      <c r="C11" s="142"/>
      <c r="D11" s="142"/>
      <c r="E11" s="142"/>
      <c r="F11" s="142"/>
      <c r="G11" s="143"/>
      <c r="H11" s="126">
        <v>14000</v>
      </c>
      <c r="I11" s="127"/>
      <c r="J11" s="127"/>
      <c r="K11" s="127"/>
      <c r="L11" s="127"/>
      <c r="M11" s="128"/>
      <c r="N11" s="136" t="s">
        <v>77</v>
      </c>
      <c r="O11" s="136"/>
      <c r="P11" s="136"/>
      <c r="Q11" s="136"/>
      <c r="R11" s="136"/>
      <c r="S11" s="136"/>
      <c r="T11" s="126">
        <v>-97150</v>
      </c>
      <c r="U11" s="127"/>
      <c r="V11" s="127"/>
      <c r="W11" s="127"/>
      <c r="X11" s="127"/>
      <c r="Y11" s="144"/>
      <c r="Z11" s="2"/>
      <c r="AA11" s="2"/>
    </row>
    <row r="12" spans="2:36" ht="16.5">
      <c r="B12" s="135"/>
      <c r="C12" s="136"/>
      <c r="D12" s="136"/>
      <c r="E12" s="136"/>
      <c r="F12" s="136"/>
      <c r="G12" s="137"/>
      <c r="H12" s="117"/>
      <c r="I12" s="117"/>
      <c r="J12" s="117"/>
      <c r="K12" s="117"/>
      <c r="L12" s="117"/>
      <c r="M12" s="117"/>
      <c r="N12" s="138"/>
      <c r="O12" s="138"/>
      <c r="P12" s="138"/>
      <c r="Q12" s="138"/>
      <c r="R12" s="138"/>
      <c r="S12" s="138"/>
      <c r="T12" s="139"/>
      <c r="U12" s="139"/>
      <c r="V12" s="139"/>
      <c r="W12" s="139"/>
      <c r="X12" s="139"/>
      <c r="Y12" s="140"/>
      <c r="Z12" s="2"/>
      <c r="AA12" s="2"/>
    </row>
    <row r="13" spans="2:36" ht="17.25" customHeight="1">
      <c r="B13" s="114"/>
      <c r="C13" s="115"/>
      <c r="D13" s="115"/>
      <c r="E13" s="115"/>
      <c r="F13" s="115"/>
      <c r="G13" s="116"/>
      <c r="H13" s="126"/>
      <c r="I13" s="127"/>
      <c r="J13" s="127"/>
      <c r="K13" s="127"/>
      <c r="L13" s="127"/>
      <c r="M13" s="127"/>
      <c r="N13" s="115"/>
      <c r="O13" s="115"/>
      <c r="P13" s="115"/>
      <c r="Q13" s="115"/>
      <c r="R13" s="115"/>
      <c r="S13" s="115"/>
      <c r="T13" s="117"/>
      <c r="U13" s="117"/>
      <c r="V13" s="117"/>
      <c r="W13" s="117"/>
      <c r="X13" s="117"/>
      <c r="Y13" s="118"/>
      <c r="Z13" s="2"/>
      <c r="AA13" s="2"/>
    </row>
    <row r="14" spans="2:36" ht="16.5">
      <c r="B14" s="124"/>
      <c r="C14" s="125"/>
      <c r="D14" s="125"/>
      <c r="E14" s="125"/>
      <c r="F14" s="125"/>
      <c r="G14" s="125"/>
      <c r="H14" s="126"/>
      <c r="I14" s="127"/>
      <c r="J14" s="127"/>
      <c r="K14" s="127"/>
      <c r="L14" s="127"/>
      <c r="M14" s="128"/>
      <c r="N14" s="129"/>
      <c r="O14" s="130"/>
      <c r="P14" s="130"/>
      <c r="Q14" s="130"/>
      <c r="R14" s="130"/>
      <c r="S14" s="131"/>
      <c r="T14" s="132"/>
      <c r="U14" s="133"/>
      <c r="V14" s="133"/>
      <c r="W14" s="133"/>
      <c r="X14" s="133"/>
      <c r="Y14" s="134"/>
      <c r="Z14" s="2"/>
      <c r="AA14" s="2"/>
    </row>
    <row r="15" spans="2:36" ht="16.5">
      <c r="B15" s="114"/>
      <c r="C15" s="115"/>
      <c r="D15" s="115"/>
      <c r="E15" s="115"/>
      <c r="F15" s="115"/>
      <c r="G15" s="116"/>
      <c r="H15" s="117"/>
      <c r="I15" s="117"/>
      <c r="J15" s="117"/>
      <c r="K15" s="117"/>
      <c r="L15" s="117"/>
      <c r="M15" s="117"/>
      <c r="N15" s="115"/>
      <c r="O15" s="115"/>
      <c r="P15" s="115"/>
      <c r="Q15" s="115"/>
      <c r="R15" s="115"/>
      <c r="S15" s="115"/>
      <c r="T15" s="117"/>
      <c r="U15" s="117"/>
      <c r="V15" s="117"/>
      <c r="W15" s="117"/>
      <c r="X15" s="117"/>
      <c r="Y15" s="118"/>
      <c r="Z15" s="2"/>
      <c r="AA15" s="2"/>
    </row>
    <row r="16" spans="2:36" ht="16.5">
      <c r="B16" s="114"/>
      <c r="C16" s="115"/>
      <c r="D16" s="115"/>
      <c r="E16" s="115"/>
      <c r="F16" s="115"/>
      <c r="G16" s="116"/>
      <c r="H16" s="117"/>
      <c r="I16" s="117"/>
      <c r="J16" s="117"/>
      <c r="K16" s="117"/>
      <c r="L16" s="117"/>
      <c r="M16" s="117"/>
      <c r="N16" s="115" t="s">
        <v>7</v>
      </c>
      <c r="O16" s="115"/>
      <c r="P16" s="115"/>
      <c r="Q16" s="115"/>
      <c r="R16" s="115"/>
      <c r="S16" s="115"/>
      <c r="T16" s="117">
        <f>SUM(T4:Y12)</f>
        <v>2644740.3651542002</v>
      </c>
      <c r="U16" s="117"/>
      <c r="V16" s="117"/>
      <c r="W16" s="117"/>
      <c r="X16" s="117"/>
      <c r="Y16" s="118"/>
      <c r="Z16" s="9"/>
      <c r="AA16" s="9"/>
    </row>
    <row r="17" spans="1:35" ht="17.25" thickBot="1">
      <c r="B17" s="119" t="s">
        <v>8</v>
      </c>
      <c r="C17" s="120"/>
      <c r="D17" s="120"/>
      <c r="E17" s="120"/>
      <c r="F17" s="120"/>
      <c r="G17" s="121"/>
      <c r="H17" s="122">
        <f>SUM(K4,K5,K6,K7,K8,K9,H10,H11,H12,H13,H14,H15,H16)</f>
        <v>2644740</v>
      </c>
      <c r="I17" s="122"/>
      <c r="J17" s="122"/>
      <c r="K17" s="122"/>
      <c r="L17" s="122"/>
      <c r="M17" s="122"/>
      <c r="N17" s="120" t="s">
        <v>9</v>
      </c>
      <c r="O17" s="120"/>
      <c r="P17" s="120"/>
      <c r="Q17" s="120"/>
      <c r="R17" s="120"/>
      <c r="S17" s="120"/>
      <c r="T17" s="122">
        <f>H17-T16</f>
        <v>-0.36515420023351908</v>
      </c>
      <c r="U17" s="122"/>
      <c r="V17" s="122"/>
      <c r="W17" s="122"/>
      <c r="X17" s="122"/>
      <c r="Y17" s="123"/>
      <c r="Z17" s="9"/>
      <c r="AA17" s="9"/>
      <c r="AD17" s="104"/>
      <c r="AE17" s="104"/>
    </row>
    <row r="18" spans="1:35" ht="21.75" customHeight="1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9"/>
      <c r="AA18" s="9"/>
    </row>
    <row r="19" spans="1:35" ht="16.5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O19" s="3"/>
      <c r="P19" s="106" t="s">
        <v>10</v>
      </c>
      <c r="Q19" s="104"/>
      <c r="R19" s="104"/>
      <c r="S19" s="104"/>
      <c r="T19" s="107" t="s">
        <v>54</v>
      </c>
      <c r="U19" s="107"/>
      <c r="V19" s="107"/>
      <c r="W19" s="107"/>
      <c r="Z19" s="9"/>
      <c r="AA19" s="4"/>
    </row>
    <row r="20" spans="1:35" ht="16.5"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P20" s="104"/>
      <c r="Q20" s="104"/>
      <c r="R20" s="104"/>
      <c r="S20" s="104"/>
      <c r="T20" s="107"/>
      <c r="U20" s="107"/>
      <c r="V20" s="107"/>
      <c r="W20" s="107"/>
      <c r="Z20" s="9"/>
      <c r="AA20" s="4"/>
    </row>
    <row r="21" spans="1:35" ht="17.25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108" t="s">
        <v>26</v>
      </c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9"/>
      <c r="AA21" s="9"/>
    </row>
    <row r="22" spans="1:35" s="12" customFormat="1" ht="17.25" thickBot="1">
      <c r="X22" s="13"/>
      <c r="AD22" s="109"/>
      <c r="AE22" s="109"/>
      <c r="AF22" s="109"/>
      <c r="AG22" s="109"/>
      <c r="AH22" s="14"/>
    </row>
    <row r="23" spans="1:35" ht="16.5" customHeight="1">
      <c r="A23" s="110"/>
      <c r="B23" s="111" t="s">
        <v>11</v>
      </c>
      <c r="C23" s="112" t="s">
        <v>12</v>
      </c>
      <c r="D23" s="64">
        <v>1</v>
      </c>
      <c r="E23" s="57">
        <v>2</v>
      </c>
      <c r="F23" s="57">
        <v>3</v>
      </c>
      <c r="G23" s="57">
        <v>4</v>
      </c>
      <c r="H23" s="57">
        <v>5</v>
      </c>
      <c r="I23" s="57">
        <v>6</v>
      </c>
      <c r="J23" s="74">
        <v>7</v>
      </c>
      <c r="K23" s="69">
        <v>8</v>
      </c>
      <c r="L23" s="57">
        <v>9</v>
      </c>
      <c r="M23" s="57">
        <v>10</v>
      </c>
      <c r="N23" s="57">
        <v>11</v>
      </c>
      <c r="O23" s="57">
        <v>12</v>
      </c>
      <c r="P23" s="57">
        <v>13</v>
      </c>
      <c r="Q23" s="74">
        <v>14</v>
      </c>
      <c r="R23" s="69">
        <v>15</v>
      </c>
      <c r="S23" s="69">
        <v>16</v>
      </c>
      <c r="T23" s="69">
        <v>17</v>
      </c>
      <c r="U23" s="69">
        <v>18</v>
      </c>
      <c r="V23" s="57">
        <v>19</v>
      </c>
      <c r="W23" s="57">
        <v>20</v>
      </c>
      <c r="X23" s="74">
        <v>21</v>
      </c>
      <c r="Y23" s="69">
        <v>22</v>
      </c>
      <c r="Z23" s="57">
        <v>23</v>
      </c>
      <c r="AA23" s="57">
        <v>24</v>
      </c>
      <c r="AB23" s="85">
        <v>25</v>
      </c>
      <c r="AC23" s="57">
        <v>26</v>
      </c>
      <c r="AD23" s="57">
        <v>27</v>
      </c>
      <c r="AE23" s="74">
        <v>28</v>
      </c>
      <c r="AF23" s="57">
        <v>29</v>
      </c>
      <c r="AG23" s="57">
        <v>30</v>
      </c>
      <c r="AH23" s="79">
        <v>31</v>
      </c>
      <c r="AI23" s="97" t="s">
        <v>18</v>
      </c>
    </row>
    <row r="24" spans="1:35" ht="16.5" customHeight="1" thickBot="1">
      <c r="A24" s="110"/>
      <c r="B24" s="103"/>
      <c r="C24" s="113"/>
      <c r="D24" s="65" t="s">
        <v>72</v>
      </c>
      <c r="E24" s="58" t="s">
        <v>73</v>
      </c>
      <c r="F24" s="58" t="s">
        <v>19</v>
      </c>
      <c r="G24" s="58" t="s">
        <v>20</v>
      </c>
      <c r="H24" s="58" t="s">
        <v>21</v>
      </c>
      <c r="I24" s="58" t="s">
        <v>22</v>
      </c>
      <c r="J24" s="75" t="s">
        <v>23</v>
      </c>
      <c r="K24" s="70" t="s">
        <v>24</v>
      </c>
      <c r="L24" s="58" t="s">
        <v>25</v>
      </c>
      <c r="M24" s="58" t="s">
        <v>19</v>
      </c>
      <c r="N24" s="58" t="s">
        <v>20</v>
      </c>
      <c r="O24" s="58" t="s">
        <v>21</v>
      </c>
      <c r="P24" s="58" t="s">
        <v>22</v>
      </c>
      <c r="Q24" s="75" t="s">
        <v>23</v>
      </c>
      <c r="R24" s="70" t="s">
        <v>24</v>
      </c>
      <c r="S24" s="70" t="s">
        <v>25</v>
      </c>
      <c r="T24" s="70" t="s">
        <v>19</v>
      </c>
      <c r="U24" s="70" t="s">
        <v>20</v>
      </c>
      <c r="V24" s="58" t="s">
        <v>21</v>
      </c>
      <c r="W24" s="58" t="s">
        <v>22</v>
      </c>
      <c r="X24" s="75" t="s">
        <v>23</v>
      </c>
      <c r="Y24" s="70" t="s">
        <v>24</v>
      </c>
      <c r="Z24" s="58" t="s">
        <v>25</v>
      </c>
      <c r="AA24" s="58" t="s">
        <v>19</v>
      </c>
      <c r="AB24" s="58" t="s">
        <v>20</v>
      </c>
      <c r="AC24" s="58" t="s">
        <v>21</v>
      </c>
      <c r="AD24" s="58" t="s">
        <v>22</v>
      </c>
      <c r="AE24" s="75" t="s">
        <v>23</v>
      </c>
      <c r="AF24" s="58" t="s">
        <v>21</v>
      </c>
      <c r="AG24" s="58" t="s">
        <v>22</v>
      </c>
      <c r="AH24" s="80" t="s">
        <v>47</v>
      </c>
      <c r="AI24" s="98"/>
    </row>
    <row r="25" spans="1:35" ht="16.5">
      <c r="A25" s="99"/>
      <c r="B25" s="100" t="str">
        <f>T19</f>
        <v>이영숙</v>
      </c>
      <c r="C25" s="34" t="s">
        <v>13</v>
      </c>
      <c r="D25" s="66">
        <v>8</v>
      </c>
      <c r="E25" s="59">
        <v>6</v>
      </c>
      <c r="F25" s="59">
        <v>8</v>
      </c>
      <c r="G25" s="59">
        <v>8</v>
      </c>
      <c r="H25" s="59">
        <v>8</v>
      </c>
      <c r="I25" s="59">
        <v>8</v>
      </c>
      <c r="J25" s="76"/>
      <c r="K25" s="71">
        <v>8</v>
      </c>
      <c r="L25" s="59">
        <v>8</v>
      </c>
      <c r="M25" s="59">
        <v>8</v>
      </c>
      <c r="N25" s="59">
        <v>8</v>
      </c>
      <c r="O25" s="59">
        <v>8</v>
      </c>
      <c r="P25" s="59">
        <v>8</v>
      </c>
      <c r="Q25" s="76"/>
      <c r="R25" s="71">
        <v>8</v>
      </c>
      <c r="S25" s="71">
        <v>8</v>
      </c>
      <c r="T25" s="71">
        <v>8</v>
      </c>
      <c r="U25" s="71">
        <v>8</v>
      </c>
      <c r="V25" s="59">
        <v>8</v>
      </c>
      <c r="W25" s="59">
        <v>8</v>
      </c>
      <c r="X25" s="76"/>
      <c r="Y25" s="71">
        <v>8</v>
      </c>
      <c r="Z25" s="59">
        <v>8</v>
      </c>
      <c r="AA25" s="59">
        <v>8</v>
      </c>
      <c r="AB25" s="59">
        <v>8</v>
      </c>
      <c r="AC25" s="59">
        <v>8</v>
      </c>
      <c r="AD25" s="59">
        <v>8</v>
      </c>
      <c r="AE25" s="90"/>
      <c r="AF25" s="88"/>
      <c r="AG25" s="59"/>
      <c r="AH25" s="81"/>
      <c r="AI25" s="51">
        <f>SUM(D25:AH25)</f>
        <v>190</v>
      </c>
    </row>
    <row r="26" spans="1:35" ht="16.5">
      <c r="A26" s="99"/>
      <c r="B26" s="101"/>
      <c r="C26" s="35" t="s">
        <v>14</v>
      </c>
      <c r="D26" s="67"/>
      <c r="E26" s="60"/>
      <c r="F26" s="60">
        <v>2</v>
      </c>
      <c r="G26" s="60">
        <v>2</v>
      </c>
      <c r="H26" s="60">
        <v>2</v>
      </c>
      <c r="I26" s="60"/>
      <c r="J26" s="77"/>
      <c r="K26" s="72"/>
      <c r="L26" s="60">
        <v>2</v>
      </c>
      <c r="M26" s="60">
        <v>2</v>
      </c>
      <c r="N26" s="60"/>
      <c r="O26" s="60">
        <v>2</v>
      </c>
      <c r="P26" s="60"/>
      <c r="Q26" s="77"/>
      <c r="R26" s="72"/>
      <c r="S26" s="72"/>
      <c r="T26" s="72"/>
      <c r="U26" s="72"/>
      <c r="V26" s="60"/>
      <c r="W26" s="60"/>
      <c r="X26" s="77"/>
      <c r="Y26" s="72"/>
      <c r="Z26" s="60"/>
      <c r="AA26" s="60"/>
      <c r="AB26" s="60"/>
      <c r="AC26" s="60"/>
      <c r="AD26" s="60">
        <v>2</v>
      </c>
      <c r="AE26" s="91"/>
      <c r="AF26" s="89"/>
      <c r="AG26" s="60"/>
      <c r="AH26" s="82"/>
      <c r="AI26" s="52">
        <f>SUM(D26:AH26)</f>
        <v>14</v>
      </c>
    </row>
    <row r="27" spans="1:35" ht="16.5">
      <c r="A27" s="99"/>
      <c r="B27" s="101"/>
      <c r="C27" s="35" t="s">
        <v>15</v>
      </c>
      <c r="D27" s="67"/>
      <c r="E27" s="60"/>
      <c r="F27" s="60"/>
      <c r="G27" s="60"/>
      <c r="H27" s="60"/>
      <c r="I27" s="60"/>
      <c r="J27" s="77">
        <v>8</v>
      </c>
      <c r="K27" s="72"/>
      <c r="L27" s="60"/>
      <c r="M27" s="60"/>
      <c r="N27" s="60"/>
      <c r="O27" s="60"/>
      <c r="P27" s="60"/>
      <c r="Q27" s="77">
        <v>8</v>
      </c>
      <c r="R27" s="72"/>
      <c r="S27" s="72"/>
      <c r="T27" s="72"/>
      <c r="U27" s="72"/>
      <c r="V27" s="60"/>
      <c r="W27" s="60"/>
      <c r="X27" s="77">
        <v>8</v>
      </c>
      <c r="Y27" s="72"/>
      <c r="Z27" s="60"/>
      <c r="AA27" s="60"/>
      <c r="AB27" s="60"/>
      <c r="AC27" s="60"/>
      <c r="AD27" s="60"/>
      <c r="AE27" s="91"/>
      <c r="AF27" s="89"/>
      <c r="AG27" s="60"/>
      <c r="AH27" s="82"/>
      <c r="AI27" s="52">
        <f>SUM(D27:AH27)</f>
        <v>24</v>
      </c>
    </row>
    <row r="28" spans="1:35" ht="16.5">
      <c r="A28" s="99"/>
      <c r="B28" s="102"/>
      <c r="C28" s="15" t="s">
        <v>27</v>
      </c>
      <c r="D28" s="67"/>
      <c r="E28" s="60"/>
      <c r="F28" s="60"/>
      <c r="G28" s="60"/>
      <c r="H28" s="60"/>
      <c r="I28" s="60"/>
      <c r="J28" s="77"/>
      <c r="K28" s="72"/>
      <c r="L28" s="60"/>
      <c r="M28" s="60"/>
      <c r="N28" s="60"/>
      <c r="O28" s="60"/>
      <c r="P28" s="60"/>
      <c r="Q28" s="77"/>
      <c r="R28" s="72"/>
      <c r="S28" s="72"/>
      <c r="T28" s="72"/>
      <c r="U28" s="72"/>
      <c r="V28" s="60"/>
      <c r="W28" s="60"/>
      <c r="X28" s="77"/>
      <c r="Y28" s="72"/>
      <c r="Z28" s="60"/>
      <c r="AA28" s="60"/>
      <c r="AB28" s="60"/>
      <c r="AC28" s="60"/>
      <c r="AD28" s="60"/>
      <c r="AE28" s="91"/>
      <c r="AF28" s="89"/>
      <c r="AG28" s="60"/>
      <c r="AH28" s="82"/>
      <c r="AI28" s="52">
        <f>SUM(D28:AH28)</f>
        <v>0</v>
      </c>
    </row>
    <row r="29" spans="1:35" ht="17.25" thickBot="1">
      <c r="A29" s="99"/>
      <c r="B29" s="103"/>
      <c r="C29" s="46" t="s">
        <v>34</v>
      </c>
      <c r="D29" s="68"/>
      <c r="E29" s="61"/>
      <c r="F29" s="61"/>
      <c r="G29" s="61"/>
      <c r="H29" s="61"/>
      <c r="I29" s="61"/>
      <c r="J29" s="78"/>
      <c r="K29" s="73"/>
      <c r="L29" s="61"/>
      <c r="M29" s="61"/>
      <c r="N29" s="61"/>
      <c r="O29" s="61"/>
      <c r="P29" s="61"/>
      <c r="Q29" s="78"/>
      <c r="R29" s="73"/>
      <c r="S29" s="73"/>
      <c r="T29" s="73"/>
      <c r="U29" s="73"/>
      <c r="V29" s="61"/>
      <c r="W29" s="61"/>
      <c r="X29" s="78"/>
      <c r="Y29" s="73"/>
      <c r="Z29" s="61"/>
      <c r="AA29" s="61"/>
      <c r="AB29" s="86"/>
      <c r="AC29" s="61"/>
      <c r="AD29" s="61"/>
      <c r="AE29" s="92"/>
      <c r="AF29" s="63"/>
      <c r="AG29" s="61"/>
      <c r="AH29" s="83"/>
      <c r="AI29" s="53">
        <f>SUM(D29:AH29)</f>
        <v>0</v>
      </c>
    </row>
    <row r="30" spans="1:35" ht="18" customHeight="1"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8"/>
      <c r="AE30" s="18"/>
      <c r="AF30" s="18"/>
      <c r="AG30" s="18"/>
      <c r="AH30" s="18"/>
      <c r="AI30" s="17"/>
    </row>
  </sheetData>
  <mergeCells count="77">
    <mergeCell ref="B1:G2"/>
    <mergeCell ref="B3:M3"/>
    <mergeCell ref="N3:Y3"/>
    <mergeCell ref="B4:G4"/>
    <mergeCell ref="H4:J4"/>
    <mergeCell ref="K4:M4"/>
    <mergeCell ref="N4:S4"/>
    <mergeCell ref="T4:Y4"/>
    <mergeCell ref="B5:G5"/>
    <mergeCell ref="H5:J5"/>
    <mergeCell ref="K5:M5"/>
    <mergeCell ref="N5:S5"/>
    <mergeCell ref="T5:Y5"/>
    <mergeCell ref="B6:G6"/>
    <mergeCell ref="H6:J6"/>
    <mergeCell ref="K6:M6"/>
    <mergeCell ref="N6:S6"/>
    <mergeCell ref="T6:Y6"/>
    <mergeCell ref="B7:G7"/>
    <mergeCell ref="H7:J7"/>
    <mergeCell ref="K7:M7"/>
    <mergeCell ref="N7:S7"/>
    <mergeCell ref="T7:Y7"/>
    <mergeCell ref="B9:G9"/>
    <mergeCell ref="H9:J9"/>
    <mergeCell ref="K9:M9"/>
    <mergeCell ref="N9:S9"/>
    <mergeCell ref="T9:Y9"/>
    <mergeCell ref="B8:G8"/>
    <mergeCell ref="H8:J8"/>
    <mergeCell ref="K8:M8"/>
    <mergeCell ref="N8:S8"/>
    <mergeCell ref="T8:Y8"/>
    <mergeCell ref="B10:G10"/>
    <mergeCell ref="H10:M10"/>
    <mergeCell ref="N10:S10"/>
    <mergeCell ref="T10:Y10"/>
    <mergeCell ref="B11:G11"/>
    <mergeCell ref="H11:M11"/>
    <mergeCell ref="N11:S11"/>
    <mergeCell ref="T11:Y11"/>
    <mergeCell ref="B12:G12"/>
    <mergeCell ref="H12:M12"/>
    <mergeCell ref="N12:S12"/>
    <mergeCell ref="T12:Y12"/>
    <mergeCell ref="B13:G13"/>
    <mergeCell ref="H13:M13"/>
    <mergeCell ref="N13:S13"/>
    <mergeCell ref="T13:Y13"/>
    <mergeCell ref="B14:G14"/>
    <mergeCell ref="H14:M14"/>
    <mergeCell ref="N14:S14"/>
    <mergeCell ref="T14:Y14"/>
    <mergeCell ref="B15:G15"/>
    <mergeCell ref="H15:M15"/>
    <mergeCell ref="N15:S15"/>
    <mergeCell ref="T15:Y15"/>
    <mergeCell ref="B16:G16"/>
    <mergeCell ref="H16:M16"/>
    <mergeCell ref="N16:S16"/>
    <mergeCell ref="T16:Y16"/>
    <mergeCell ref="B17:G17"/>
    <mergeCell ref="H17:M17"/>
    <mergeCell ref="N17:S17"/>
    <mergeCell ref="T17:Y17"/>
    <mergeCell ref="AI23:AI24"/>
    <mergeCell ref="A25:A29"/>
    <mergeCell ref="B25:B29"/>
    <mergeCell ref="AD17:AE17"/>
    <mergeCell ref="N18:Y18"/>
    <mergeCell ref="P19:S20"/>
    <mergeCell ref="T19:W20"/>
    <mergeCell ref="N21:Y21"/>
    <mergeCell ref="AD22:AG22"/>
    <mergeCell ref="A23:A24"/>
    <mergeCell ref="B23:B24"/>
    <mergeCell ref="C23:C24"/>
  </mergeCells>
  <phoneticPr fontId="2" type="noConversion"/>
  <pageMargins left="0.7" right="0.7" top="0.75" bottom="0.75" header="0.3" footer="0.3"/>
  <pageSetup paperSize="9" scale="73"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J30"/>
  <sheetViews>
    <sheetView showGridLines="0" showZeros="0" zoomScale="90" zoomScaleNormal="90" workbookViewId="0">
      <selection activeCell="I36" sqref="I36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9" customWidth="1"/>
    <col min="32" max="34" width="4.625" style="9" hidden="1" customWidth="1"/>
    <col min="35" max="35" width="6" style="1" customWidth="1"/>
    <col min="36" max="36" width="4.25" style="1" customWidth="1"/>
    <col min="37" max="38" width="3.75" style="1" customWidth="1"/>
    <col min="39" max="62" width="3.25" style="1" customWidth="1"/>
    <col min="63" max="65" width="2.125" style="1" customWidth="1"/>
    <col min="66" max="16384" width="3.625" style="1"/>
  </cols>
  <sheetData>
    <row r="1" spans="2:36" ht="16.5" customHeight="1">
      <c r="B1" s="149" t="s">
        <v>44</v>
      </c>
      <c r="C1" s="149"/>
      <c r="D1" s="149"/>
      <c r="E1" s="149"/>
      <c r="F1" s="149"/>
      <c r="G1" s="149"/>
    </row>
    <row r="2" spans="2:36" ht="17.25" customHeight="1" thickBot="1">
      <c r="B2" s="150"/>
      <c r="C2" s="150"/>
      <c r="D2" s="150"/>
      <c r="E2" s="150"/>
      <c r="F2" s="150"/>
      <c r="G2" s="150"/>
    </row>
    <row r="3" spans="2:36" ht="16.5">
      <c r="B3" s="151" t="s">
        <v>0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 t="s">
        <v>1</v>
      </c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3"/>
    </row>
    <row r="4" spans="2:36" ht="16.5" customHeight="1">
      <c r="B4" s="135" t="s">
        <v>2</v>
      </c>
      <c r="C4" s="136"/>
      <c r="D4" s="136"/>
      <c r="E4" s="136"/>
      <c r="F4" s="136"/>
      <c r="G4" s="137"/>
      <c r="H4" s="148">
        <f>AI25</f>
        <v>190</v>
      </c>
      <c r="I4" s="148"/>
      <c r="J4" s="148"/>
      <c r="K4" s="117">
        <f>H4*10320</f>
        <v>1960800</v>
      </c>
      <c r="L4" s="117"/>
      <c r="M4" s="117"/>
      <c r="N4" s="137" t="s">
        <v>29</v>
      </c>
      <c r="O4" s="142"/>
      <c r="P4" s="142"/>
      <c r="Q4" s="142"/>
      <c r="R4" s="142"/>
      <c r="S4" s="143"/>
      <c r="T4" s="126">
        <v>99750</v>
      </c>
      <c r="U4" s="127"/>
      <c r="V4" s="127"/>
      <c r="W4" s="127"/>
      <c r="X4" s="127"/>
      <c r="Y4" s="144"/>
    </row>
    <row r="5" spans="2:36" ht="16.5" customHeight="1">
      <c r="B5" s="141" t="s">
        <v>3</v>
      </c>
      <c r="C5" s="142"/>
      <c r="D5" s="142"/>
      <c r="E5" s="142"/>
      <c r="F5" s="142"/>
      <c r="G5" s="143"/>
      <c r="H5" s="148">
        <f>AI26</f>
        <v>12</v>
      </c>
      <c r="I5" s="148"/>
      <c r="J5" s="148"/>
      <c r="K5" s="117">
        <f>H5*10320*1.5</f>
        <v>185760</v>
      </c>
      <c r="L5" s="117"/>
      <c r="M5" s="117"/>
      <c r="N5" s="137" t="s">
        <v>30</v>
      </c>
      <c r="O5" s="142"/>
      <c r="P5" s="142"/>
      <c r="Q5" s="142"/>
      <c r="R5" s="142"/>
      <c r="S5" s="143"/>
      <c r="T5" s="126">
        <f>H17*3.595%</f>
        <v>98345.539000000004</v>
      </c>
      <c r="U5" s="127"/>
      <c r="V5" s="127"/>
      <c r="W5" s="127"/>
      <c r="X5" s="127"/>
      <c r="Y5" s="144"/>
    </row>
    <row r="6" spans="2:36" ht="16.5" customHeight="1">
      <c r="B6" s="141" t="s">
        <v>4</v>
      </c>
      <c r="C6" s="142"/>
      <c r="D6" s="142"/>
      <c r="E6" s="142"/>
      <c r="F6" s="142"/>
      <c r="G6" s="143"/>
      <c r="H6" s="148"/>
      <c r="I6" s="148"/>
      <c r="J6" s="148"/>
      <c r="K6" s="117"/>
      <c r="L6" s="117"/>
      <c r="M6" s="117"/>
      <c r="N6" s="137" t="s">
        <v>17</v>
      </c>
      <c r="O6" s="142"/>
      <c r="P6" s="142"/>
      <c r="Q6" s="142"/>
      <c r="R6" s="142"/>
      <c r="S6" s="143"/>
      <c r="T6" s="126">
        <f>T5*13.14%</f>
        <v>12922.603824600003</v>
      </c>
      <c r="U6" s="127"/>
      <c r="V6" s="127"/>
      <c r="W6" s="127"/>
      <c r="X6" s="127"/>
      <c r="Y6" s="144"/>
      <c r="AJ6" s="47"/>
    </row>
    <row r="7" spans="2:36" ht="16.5" customHeight="1">
      <c r="B7" s="141" t="s">
        <v>5</v>
      </c>
      <c r="C7" s="142"/>
      <c r="D7" s="142"/>
      <c r="E7" s="142"/>
      <c r="F7" s="142"/>
      <c r="G7" s="143"/>
      <c r="H7" s="148">
        <f>AI27</f>
        <v>32</v>
      </c>
      <c r="I7" s="148"/>
      <c r="J7" s="148"/>
      <c r="K7" s="117">
        <f>H7*10320*1.5</f>
        <v>495360</v>
      </c>
      <c r="L7" s="117"/>
      <c r="M7" s="117"/>
      <c r="N7" s="137" t="s">
        <v>31</v>
      </c>
      <c r="O7" s="142"/>
      <c r="P7" s="142"/>
      <c r="Q7" s="142"/>
      <c r="R7" s="142"/>
      <c r="S7" s="143"/>
      <c r="T7" s="126">
        <f>H17*0.9%</f>
        <v>24620.58</v>
      </c>
      <c r="U7" s="127"/>
      <c r="V7" s="127"/>
      <c r="W7" s="127"/>
      <c r="X7" s="127"/>
      <c r="Y7" s="144"/>
      <c r="AJ7" s="47"/>
    </row>
    <row r="8" spans="2:36" ht="16.5" customHeight="1">
      <c r="B8" s="141" t="s">
        <v>6</v>
      </c>
      <c r="C8" s="142"/>
      <c r="D8" s="142"/>
      <c r="E8" s="142"/>
      <c r="F8" s="142"/>
      <c r="G8" s="143"/>
      <c r="H8" s="145"/>
      <c r="I8" s="146"/>
      <c r="J8" s="147"/>
      <c r="K8" s="126">
        <f>H8*9860*2</f>
        <v>0</v>
      </c>
      <c r="L8" s="127"/>
      <c r="M8" s="128"/>
      <c r="N8" s="137" t="s">
        <v>32</v>
      </c>
      <c r="O8" s="142"/>
      <c r="P8" s="142"/>
      <c r="Q8" s="142"/>
      <c r="R8" s="142"/>
      <c r="S8" s="143"/>
      <c r="T8" s="126">
        <v>50810</v>
      </c>
      <c r="U8" s="127"/>
      <c r="V8" s="127"/>
      <c r="W8" s="127"/>
      <c r="X8" s="127"/>
      <c r="Y8" s="144"/>
      <c r="AJ8" s="47"/>
    </row>
    <row r="9" spans="2:36" ht="16.5" customHeight="1">
      <c r="B9" s="141" t="s">
        <v>28</v>
      </c>
      <c r="C9" s="142"/>
      <c r="D9" s="142"/>
      <c r="E9" s="142"/>
      <c r="F9" s="142"/>
      <c r="G9" s="143"/>
      <c r="H9" s="145">
        <f>AI29</f>
        <v>0</v>
      </c>
      <c r="I9" s="146"/>
      <c r="J9" s="147"/>
      <c r="K9" s="117"/>
      <c r="L9" s="117"/>
      <c r="M9" s="117"/>
      <c r="N9" s="136" t="s">
        <v>33</v>
      </c>
      <c r="O9" s="136"/>
      <c r="P9" s="136"/>
      <c r="Q9" s="136"/>
      <c r="R9" s="136"/>
      <c r="S9" s="136"/>
      <c r="T9" s="126">
        <f>T8*10%</f>
        <v>5081</v>
      </c>
      <c r="U9" s="127"/>
      <c r="V9" s="127"/>
      <c r="W9" s="127"/>
      <c r="X9" s="127"/>
      <c r="Y9" s="144"/>
      <c r="AJ9" s="9"/>
    </row>
    <row r="10" spans="2:36" ht="16.5" customHeight="1">
      <c r="B10" s="141" t="s">
        <v>37</v>
      </c>
      <c r="C10" s="142"/>
      <c r="D10" s="142"/>
      <c r="E10" s="142"/>
      <c r="F10" s="142"/>
      <c r="G10" s="143"/>
      <c r="H10" s="126">
        <v>81700</v>
      </c>
      <c r="I10" s="127"/>
      <c r="J10" s="127"/>
      <c r="K10" s="127"/>
      <c r="L10" s="127"/>
      <c r="M10" s="128"/>
      <c r="N10" s="136" t="s">
        <v>66</v>
      </c>
      <c r="O10" s="136"/>
      <c r="P10" s="136"/>
      <c r="Q10" s="136"/>
      <c r="R10" s="136"/>
      <c r="S10" s="136"/>
      <c r="T10" s="117">
        <v>2611760</v>
      </c>
      <c r="U10" s="117"/>
      <c r="V10" s="117"/>
      <c r="W10" s="117"/>
      <c r="X10" s="117"/>
      <c r="Y10" s="118"/>
      <c r="Z10" s="2"/>
      <c r="AA10" s="2"/>
    </row>
    <row r="11" spans="2:36" ht="16.5" customHeight="1">
      <c r="B11" s="141" t="s">
        <v>59</v>
      </c>
      <c r="C11" s="142"/>
      <c r="D11" s="142"/>
      <c r="E11" s="142"/>
      <c r="F11" s="142"/>
      <c r="G11" s="143"/>
      <c r="H11" s="126">
        <v>12000</v>
      </c>
      <c r="I11" s="127"/>
      <c r="J11" s="127"/>
      <c r="K11" s="127"/>
      <c r="L11" s="127"/>
      <c r="M11" s="128"/>
      <c r="N11" s="136" t="s">
        <v>77</v>
      </c>
      <c r="O11" s="136"/>
      <c r="P11" s="136"/>
      <c r="Q11" s="136"/>
      <c r="R11" s="136"/>
      <c r="S11" s="136"/>
      <c r="T11" s="126">
        <v>-167670</v>
      </c>
      <c r="U11" s="127"/>
      <c r="V11" s="127"/>
      <c r="W11" s="127"/>
      <c r="X11" s="127"/>
      <c r="Y11" s="144"/>
      <c r="Z11" s="2"/>
      <c r="AA11" s="2"/>
    </row>
    <row r="12" spans="2:36" ht="16.5">
      <c r="B12" s="135"/>
      <c r="C12" s="136"/>
      <c r="D12" s="136"/>
      <c r="E12" s="136"/>
      <c r="F12" s="136"/>
      <c r="G12" s="137"/>
      <c r="H12" s="117"/>
      <c r="I12" s="117"/>
      <c r="J12" s="117"/>
      <c r="K12" s="117"/>
      <c r="L12" s="117"/>
      <c r="M12" s="117"/>
      <c r="N12" s="138"/>
      <c r="O12" s="138"/>
      <c r="P12" s="138"/>
      <c r="Q12" s="138"/>
      <c r="R12" s="138"/>
      <c r="S12" s="138"/>
      <c r="T12" s="139"/>
      <c r="U12" s="139"/>
      <c r="V12" s="139"/>
      <c r="W12" s="139"/>
      <c r="X12" s="139"/>
      <c r="Y12" s="140"/>
      <c r="Z12" s="2"/>
      <c r="AA12" s="2"/>
    </row>
    <row r="13" spans="2:36" ht="17.25" customHeight="1">
      <c r="B13" s="114"/>
      <c r="C13" s="115"/>
      <c r="D13" s="115"/>
      <c r="E13" s="115"/>
      <c r="F13" s="115"/>
      <c r="G13" s="116"/>
      <c r="H13" s="126"/>
      <c r="I13" s="127"/>
      <c r="J13" s="127"/>
      <c r="K13" s="127"/>
      <c r="L13" s="127"/>
      <c r="M13" s="127"/>
      <c r="N13" s="115"/>
      <c r="O13" s="115"/>
      <c r="P13" s="115"/>
      <c r="Q13" s="115"/>
      <c r="R13" s="115"/>
      <c r="S13" s="115"/>
      <c r="T13" s="117"/>
      <c r="U13" s="117"/>
      <c r="V13" s="117"/>
      <c r="W13" s="117"/>
      <c r="X13" s="117"/>
      <c r="Y13" s="118"/>
      <c r="Z13" s="2"/>
      <c r="AA13" s="2"/>
    </row>
    <row r="14" spans="2:36" ht="16.5">
      <c r="B14" s="124"/>
      <c r="C14" s="125"/>
      <c r="D14" s="125"/>
      <c r="E14" s="125"/>
      <c r="F14" s="125"/>
      <c r="G14" s="125"/>
      <c r="H14" s="126"/>
      <c r="I14" s="127"/>
      <c r="J14" s="127"/>
      <c r="K14" s="127"/>
      <c r="L14" s="127"/>
      <c r="M14" s="128"/>
      <c r="N14" s="129"/>
      <c r="O14" s="130"/>
      <c r="P14" s="130"/>
      <c r="Q14" s="130"/>
      <c r="R14" s="130"/>
      <c r="S14" s="131"/>
      <c r="T14" s="132"/>
      <c r="U14" s="133"/>
      <c r="V14" s="133"/>
      <c r="W14" s="133"/>
      <c r="X14" s="133"/>
      <c r="Y14" s="134"/>
      <c r="Z14" s="2"/>
      <c r="AA14" s="2"/>
    </row>
    <row r="15" spans="2:36" ht="16.5">
      <c r="B15" s="114"/>
      <c r="C15" s="115"/>
      <c r="D15" s="115"/>
      <c r="E15" s="115"/>
      <c r="F15" s="115"/>
      <c r="G15" s="116"/>
      <c r="H15" s="117"/>
      <c r="I15" s="117"/>
      <c r="J15" s="117"/>
      <c r="K15" s="117"/>
      <c r="L15" s="117"/>
      <c r="M15" s="117"/>
      <c r="N15" s="115"/>
      <c r="O15" s="115"/>
      <c r="P15" s="115"/>
      <c r="Q15" s="115"/>
      <c r="R15" s="115"/>
      <c r="S15" s="115"/>
      <c r="T15" s="117"/>
      <c r="U15" s="117"/>
      <c r="V15" s="117"/>
      <c r="W15" s="117"/>
      <c r="X15" s="117"/>
      <c r="Y15" s="118"/>
      <c r="Z15" s="2"/>
      <c r="AA15" s="2"/>
    </row>
    <row r="16" spans="2:36" ht="16.5">
      <c r="B16" s="114"/>
      <c r="C16" s="115"/>
      <c r="D16" s="115"/>
      <c r="E16" s="115"/>
      <c r="F16" s="115"/>
      <c r="G16" s="116"/>
      <c r="H16" s="117"/>
      <c r="I16" s="117"/>
      <c r="J16" s="117"/>
      <c r="K16" s="117"/>
      <c r="L16" s="117"/>
      <c r="M16" s="117"/>
      <c r="N16" s="115" t="s">
        <v>7</v>
      </c>
      <c r="O16" s="115"/>
      <c r="P16" s="115"/>
      <c r="Q16" s="115"/>
      <c r="R16" s="115"/>
      <c r="S16" s="115"/>
      <c r="T16" s="117">
        <f>SUM(T4:Y12)</f>
        <v>2735619.7228246001</v>
      </c>
      <c r="U16" s="117"/>
      <c r="V16" s="117"/>
      <c r="W16" s="117"/>
      <c r="X16" s="117"/>
      <c r="Y16" s="118"/>
      <c r="Z16" s="9"/>
      <c r="AA16" s="9"/>
    </row>
    <row r="17" spans="1:35" ht="17.25" thickBot="1">
      <c r="B17" s="119" t="s">
        <v>8</v>
      </c>
      <c r="C17" s="120"/>
      <c r="D17" s="120"/>
      <c r="E17" s="120"/>
      <c r="F17" s="120"/>
      <c r="G17" s="121"/>
      <c r="H17" s="122">
        <f>SUM(K4,K5,K6,K7,K8,K9,H10,H11,H12,H13,H14,H15,H16)</f>
        <v>2735620</v>
      </c>
      <c r="I17" s="122"/>
      <c r="J17" s="122"/>
      <c r="K17" s="122"/>
      <c r="L17" s="122"/>
      <c r="M17" s="122"/>
      <c r="N17" s="120" t="s">
        <v>9</v>
      </c>
      <c r="O17" s="120"/>
      <c r="P17" s="120"/>
      <c r="Q17" s="120"/>
      <c r="R17" s="120"/>
      <c r="S17" s="120"/>
      <c r="T17" s="122">
        <f>H17-T16</f>
        <v>0.27717539994046092</v>
      </c>
      <c r="U17" s="122"/>
      <c r="V17" s="122"/>
      <c r="W17" s="122"/>
      <c r="X17" s="122"/>
      <c r="Y17" s="123"/>
      <c r="Z17" s="9"/>
      <c r="AA17" s="9"/>
      <c r="AD17" s="104"/>
      <c r="AE17" s="104"/>
    </row>
    <row r="18" spans="1:35" ht="21.75" customHeight="1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9"/>
      <c r="AA18" s="9"/>
    </row>
    <row r="19" spans="1:35" ht="16.5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O19" s="3"/>
      <c r="P19" s="106" t="s">
        <v>10</v>
      </c>
      <c r="Q19" s="104"/>
      <c r="R19" s="104"/>
      <c r="S19" s="104"/>
      <c r="T19" s="107" t="s">
        <v>70</v>
      </c>
      <c r="U19" s="107"/>
      <c r="V19" s="107"/>
      <c r="W19" s="107"/>
      <c r="Z19" s="9"/>
      <c r="AA19" s="4"/>
    </row>
    <row r="20" spans="1:35" ht="16.5"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P20" s="104"/>
      <c r="Q20" s="104"/>
      <c r="R20" s="104"/>
      <c r="S20" s="104"/>
      <c r="T20" s="107"/>
      <c r="U20" s="107"/>
      <c r="V20" s="107"/>
      <c r="W20" s="107"/>
      <c r="Z20" s="9"/>
      <c r="AA20" s="4"/>
    </row>
    <row r="21" spans="1:35" ht="17.25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108" t="s">
        <v>26</v>
      </c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9"/>
      <c r="AA21" s="9"/>
    </row>
    <row r="22" spans="1:35" s="12" customFormat="1" ht="17.25" thickBot="1">
      <c r="X22" s="13"/>
      <c r="AD22" s="109"/>
      <c r="AE22" s="109"/>
      <c r="AF22" s="109"/>
      <c r="AG22" s="109"/>
      <c r="AH22" s="14"/>
    </row>
    <row r="23" spans="1:35" ht="16.5" customHeight="1">
      <c r="A23" s="110"/>
      <c r="B23" s="111" t="s">
        <v>11</v>
      </c>
      <c r="C23" s="112" t="s">
        <v>12</v>
      </c>
      <c r="D23" s="64">
        <v>1</v>
      </c>
      <c r="E23" s="57">
        <v>2</v>
      </c>
      <c r="F23" s="57">
        <v>3</v>
      </c>
      <c r="G23" s="57">
        <v>4</v>
      </c>
      <c r="H23" s="57">
        <v>5</v>
      </c>
      <c r="I23" s="57">
        <v>6</v>
      </c>
      <c r="J23" s="74">
        <v>7</v>
      </c>
      <c r="K23" s="69">
        <v>8</v>
      </c>
      <c r="L23" s="57">
        <v>9</v>
      </c>
      <c r="M23" s="57">
        <v>10</v>
      </c>
      <c r="N23" s="57">
        <v>11</v>
      </c>
      <c r="O23" s="57">
        <v>12</v>
      </c>
      <c r="P23" s="57">
        <v>13</v>
      </c>
      <c r="Q23" s="74">
        <v>14</v>
      </c>
      <c r="R23" s="69">
        <v>15</v>
      </c>
      <c r="S23" s="69">
        <v>16</v>
      </c>
      <c r="T23" s="69">
        <v>17</v>
      </c>
      <c r="U23" s="69">
        <v>18</v>
      </c>
      <c r="V23" s="57">
        <v>19</v>
      </c>
      <c r="W23" s="57">
        <v>20</v>
      </c>
      <c r="X23" s="74">
        <v>21</v>
      </c>
      <c r="Y23" s="69">
        <v>22</v>
      </c>
      <c r="Z23" s="57">
        <v>23</v>
      </c>
      <c r="AA23" s="57">
        <v>24</v>
      </c>
      <c r="AB23" s="85">
        <v>25</v>
      </c>
      <c r="AC23" s="57">
        <v>26</v>
      </c>
      <c r="AD23" s="57">
        <v>27</v>
      </c>
      <c r="AE23" s="74">
        <v>28</v>
      </c>
      <c r="AF23" s="57">
        <v>29</v>
      </c>
      <c r="AG23" s="57">
        <v>30</v>
      </c>
      <c r="AH23" s="79">
        <v>31</v>
      </c>
      <c r="AI23" s="97" t="s">
        <v>18</v>
      </c>
    </row>
    <row r="24" spans="1:35" ht="16.5" customHeight="1" thickBot="1">
      <c r="A24" s="110"/>
      <c r="B24" s="103"/>
      <c r="C24" s="113"/>
      <c r="D24" s="65" t="s">
        <v>72</v>
      </c>
      <c r="E24" s="58" t="s">
        <v>73</v>
      </c>
      <c r="F24" s="58" t="s">
        <v>19</v>
      </c>
      <c r="G24" s="58" t="s">
        <v>20</v>
      </c>
      <c r="H24" s="58" t="s">
        <v>21</v>
      </c>
      <c r="I24" s="58" t="s">
        <v>22</v>
      </c>
      <c r="J24" s="75" t="s">
        <v>23</v>
      </c>
      <c r="K24" s="70" t="s">
        <v>24</v>
      </c>
      <c r="L24" s="58" t="s">
        <v>25</v>
      </c>
      <c r="M24" s="58" t="s">
        <v>19</v>
      </c>
      <c r="N24" s="58" t="s">
        <v>20</v>
      </c>
      <c r="O24" s="58" t="s">
        <v>21</v>
      </c>
      <c r="P24" s="58" t="s">
        <v>22</v>
      </c>
      <c r="Q24" s="75" t="s">
        <v>23</v>
      </c>
      <c r="R24" s="70" t="s">
        <v>24</v>
      </c>
      <c r="S24" s="70" t="s">
        <v>25</v>
      </c>
      <c r="T24" s="70" t="s">
        <v>19</v>
      </c>
      <c r="U24" s="70" t="s">
        <v>20</v>
      </c>
      <c r="V24" s="58" t="s">
        <v>21</v>
      </c>
      <c r="W24" s="58" t="s">
        <v>22</v>
      </c>
      <c r="X24" s="75" t="s">
        <v>23</v>
      </c>
      <c r="Y24" s="70" t="s">
        <v>24</v>
      </c>
      <c r="Z24" s="58" t="s">
        <v>25</v>
      </c>
      <c r="AA24" s="58" t="s">
        <v>19</v>
      </c>
      <c r="AB24" s="58" t="s">
        <v>20</v>
      </c>
      <c r="AC24" s="58" t="s">
        <v>21</v>
      </c>
      <c r="AD24" s="58" t="s">
        <v>22</v>
      </c>
      <c r="AE24" s="75" t="s">
        <v>23</v>
      </c>
      <c r="AF24" s="58" t="s">
        <v>21</v>
      </c>
      <c r="AG24" s="58" t="s">
        <v>22</v>
      </c>
      <c r="AH24" s="80" t="s">
        <v>47</v>
      </c>
      <c r="AI24" s="98"/>
    </row>
    <row r="25" spans="1:35" ht="16.5">
      <c r="A25" s="99"/>
      <c r="B25" s="100" t="str">
        <f>T19</f>
        <v>신향화</v>
      </c>
      <c r="C25" s="34" t="s">
        <v>13</v>
      </c>
      <c r="D25" s="66">
        <v>8</v>
      </c>
      <c r="E25" s="59">
        <v>6</v>
      </c>
      <c r="F25" s="59">
        <v>8</v>
      </c>
      <c r="G25" s="59">
        <v>8</v>
      </c>
      <c r="H25" s="59">
        <v>8</v>
      </c>
      <c r="I25" s="59">
        <v>8</v>
      </c>
      <c r="J25" s="76"/>
      <c r="K25" s="71">
        <v>8</v>
      </c>
      <c r="L25" s="59">
        <v>8</v>
      </c>
      <c r="M25" s="59">
        <v>8</v>
      </c>
      <c r="N25" s="59">
        <v>8</v>
      </c>
      <c r="O25" s="59">
        <v>8</v>
      </c>
      <c r="P25" s="59">
        <v>8</v>
      </c>
      <c r="Q25" s="76"/>
      <c r="R25" s="71">
        <v>8</v>
      </c>
      <c r="S25" s="71">
        <v>8</v>
      </c>
      <c r="T25" s="71">
        <v>8</v>
      </c>
      <c r="U25" s="71">
        <v>8</v>
      </c>
      <c r="V25" s="59">
        <v>8</v>
      </c>
      <c r="W25" s="59">
        <v>8</v>
      </c>
      <c r="X25" s="76"/>
      <c r="Y25" s="71">
        <v>8</v>
      </c>
      <c r="Z25" s="59">
        <v>8</v>
      </c>
      <c r="AA25" s="59">
        <v>8</v>
      </c>
      <c r="AB25" s="59">
        <v>8</v>
      </c>
      <c r="AC25" s="59">
        <v>8</v>
      </c>
      <c r="AD25" s="59">
        <v>8</v>
      </c>
      <c r="AE25" s="90"/>
      <c r="AF25" s="88"/>
      <c r="AG25" s="59"/>
      <c r="AH25" s="81"/>
      <c r="AI25" s="51">
        <f>SUM(D25:AH25)</f>
        <v>190</v>
      </c>
    </row>
    <row r="26" spans="1:35" ht="16.5">
      <c r="A26" s="99"/>
      <c r="B26" s="101"/>
      <c r="C26" s="35" t="s">
        <v>14</v>
      </c>
      <c r="D26" s="67"/>
      <c r="E26" s="60"/>
      <c r="F26" s="60">
        <v>2</v>
      </c>
      <c r="G26" s="60">
        <v>2</v>
      </c>
      <c r="H26" s="60">
        <v>2</v>
      </c>
      <c r="I26" s="60"/>
      <c r="J26" s="77"/>
      <c r="K26" s="72"/>
      <c r="L26" s="60">
        <v>2</v>
      </c>
      <c r="M26" s="60">
        <v>2</v>
      </c>
      <c r="N26" s="60"/>
      <c r="O26" s="60">
        <v>2</v>
      </c>
      <c r="P26" s="60"/>
      <c r="Q26" s="77"/>
      <c r="R26" s="72"/>
      <c r="S26" s="72"/>
      <c r="T26" s="72"/>
      <c r="U26" s="72"/>
      <c r="V26" s="60"/>
      <c r="W26" s="60"/>
      <c r="X26" s="77"/>
      <c r="Y26" s="72"/>
      <c r="Z26" s="60"/>
      <c r="AA26" s="60"/>
      <c r="AB26" s="60"/>
      <c r="AC26" s="60"/>
      <c r="AD26" s="60"/>
      <c r="AE26" s="91"/>
      <c r="AF26" s="89"/>
      <c r="AG26" s="60"/>
      <c r="AH26" s="82"/>
      <c r="AI26" s="52">
        <f>SUM(D26:AH26)</f>
        <v>12</v>
      </c>
    </row>
    <row r="27" spans="1:35" ht="16.5">
      <c r="A27" s="99"/>
      <c r="B27" s="101"/>
      <c r="C27" s="35" t="s">
        <v>15</v>
      </c>
      <c r="D27" s="67"/>
      <c r="E27" s="60"/>
      <c r="F27" s="60"/>
      <c r="G27" s="60"/>
      <c r="H27" s="60"/>
      <c r="I27" s="60"/>
      <c r="J27" s="77">
        <v>8</v>
      </c>
      <c r="K27" s="72"/>
      <c r="L27" s="60"/>
      <c r="M27" s="60"/>
      <c r="N27" s="60"/>
      <c r="O27" s="60"/>
      <c r="P27" s="60"/>
      <c r="Q27" s="77">
        <v>8</v>
      </c>
      <c r="R27" s="72"/>
      <c r="S27" s="72"/>
      <c r="T27" s="72"/>
      <c r="U27" s="72"/>
      <c r="V27" s="60"/>
      <c r="W27" s="60"/>
      <c r="X27" s="77">
        <v>8</v>
      </c>
      <c r="Y27" s="72"/>
      <c r="Z27" s="60"/>
      <c r="AA27" s="60"/>
      <c r="AB27" s="60"/>
      <c r="AC27" s="60"/>
      <c r="AD27" s="60"/>
      <c r="AE27" s="91">
        <v>8</v>
      </c>
      <c r="AF27" s="89"/>
      <c r="AG27" s="60"/>
      <c r="AH27" s="82"/>
      <c r="AI27" s="52">
        <f>SUM(D27:AH27)</f>
        <v>32</v>
      </c>
    </row>
    <row r="28" spans="1:35" ht="16.5">
      <c r="A28" s="99"/>
      <c r="B28" s="102"/>
      <c r="C28" s="15" t="s">
        <v>27</v>
      </c>
      <c r="D28" s="67"/>
      <c r="E28" s="60"/>
      <c r="F28" s="60"/>
      <c r="G28" s="60"/>
      <c r="H28" s="60"/>
      <c r="I28" s="60"/>
      <c r="J28" s="77"/>
      <c r="K28" s="72"/>
      <c r="L28" s="60"/>
      <c r="M28" s="60"/>
      <c r="N28" s="60"/>
      <c r="O28" s="60"/>
      <c r="P28" s="60"/>
      <c r="Q28" s="77"/>
      <c r="R28" s="72"/>
      <c r="S28" s="72"/>
      <c r="T28" s="72"/>
      <c r="U28" s="72"/>
      <c r="V28" s="60"/>
      <c r="W28" s="60"/>
      <c r="X28" s="77"/>
      <c r="Y28" s="72"/>
      <c r="Z28" s="60"/>
      <c r="AA28" s="60"/>
      <c r="AB28" s="60"/>
      <c r="AC28" s="60"/>
      <c r="AD28" s="60"/>
      <c r="AE28" s="91"/>
      <c r="AF28" s="89"/>
      <c r="AG28" s="60"/>
      <c r="AH28" s="82"/>
      <c r="AI28" s="52">
        <f>SUM(D28:AH28)</f>
        <v>0</v>
      </c>
    </row>
    <row r="29" spans="1:35" ht="17.25" thickBot="1">
      <c r="A29" s="99"/>
      <c r="B29" s="103"/>
      <c r="C29" s="46" t="s">
        <v>34</v>
      </c>
      <c r="D29" s="68"/>
      <c r="E29" s="61"/>
      <c r="F29" s="61"/>
      <c r="G29" s="61"/>
      <c r="H29" s="61"/>
      <c r="I29" s="61"/>
      <c r="J29" s="78"/>
      <c r="K29" s="73"/>
      <c r="L29" s="61"/>
      <c r="M29" s="61"/>
      <c r="N29" s="61"/>
      <c r="O29" s="61"/>
      <c r="P29" s="61"/>
      <c r="Q29" s="78"/>
      <c r="R29" s="73"/>
      <c r="S29" s="73"/>
      <c r="T29" s="73"/>
      <c r="U29" s="73"/>
      <c r="V29" s="61"/>
      <c r="W29" s="61"/>
      <c r="X29" s="78"/>
      <c r="Y29" s="73"/>
      <c r="Z29" s="61"/>
      <c r="AA29" s="61"/>
      <c r="AB29" s="86"/>
      <c r="AC29" s="61"/>
      <c r="AD29" s="61" t="s">
        <v>74</v>
      </c>
      <c r="AE29" s="93"/>
      <c r="AF29" s="63"/>
      <c r="AG29" s="61"/>
      <c r="AH29" s="83"/>
      <c r="AI29" s="53">
        <f>SUM(D29:AH29)</f>
        <v>0</v>
      </c>
    </row>
    <row r="30" spans="1:35" ht="18" customHeight="1"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8"/>
      <c r="AE30" s="18"/>
      <c r="AF30" s="18"/>
      <c r="AG30" s="18"/>
      <c r="AH30" s="18"/>
      <c r="AI30" s="17"/>
    </row>
  </sheetData>
  <mergeCells count="77">
    <mergeCell ref="B1:G2"/>
    <mergeCell ref="B3:M3"/>
    <mergeCell ref="N3:Y3"/>
    <mergeCell ref="B4:G4"/>
    <mergeCell ref="H4:J4"/>
    <mergeCell ref="K4:M4"/>
    <mergeCell ref="N4:S4"/>
    <mergeCell ref="T4:Y4"/>
    <mergeCell ref="B5:G5"/>
    <mergeCell ref="H5:J5"/>
    <mergeCell ref="K5:M5"/>
    <mergeCell ref="N5:S5"/>
    <mergeCell ref="T5:Y5"/>
    <mergeCell ref="B6:G6"/>
    <mergeCell ref="H6:J6"/>
    <mergeCell ref="K6:M6"/>
    <mergeCell ref="N6:S6"/>
    <mergeCell ref="T6:Y6"/>
    <mergeCell ref="B7:G7"/>
    <mergeCell ref="H7:J7"/>
    <mergeCell ref="K7:M7"/>
    <mergeCell ref="N7:S7"/>
    <mergeCell ref="T7:Y7"/>
    <mergeCell ref="B9:G9"/>
    <mergeCell ref="H9:J9"/>
    <mergeCell ref="K9:M9"/>
    <mergeCell ref="N9:S9"/>
    <mergeCell ref="T9:Y9"/>
    <mergeCell ref="B8:G8"/>
    <mergeCell ref="H8:J8"/>
    <mergeCell ref="K8:M8"/>
    <mergeCell ref="N8:S8"/>
    <mergeCell ref="T8:Y8"/>
    <mergeCell ref="B10:G10"/>
    <mergeCell ref="H10:M10"/>
    <mergeCell ref="N10:S10"/>
    <mergeCell ref="T10:Y10"/>
    <mergeCell ref="B11:G11"/>
    <mergeCell ref="H11:M11"/>
    <mergeCell ref="N11:S11"/>
    <mergeCell ref="T11:Y11"/>
    <mergeCell ref="B12:G12"/>
    <mergeCell ref="H12:M12"/>
    <mergeCell ref="N12:S12"/>
    <mergeCell ref="T12:Y12"/>
    <mergeCell ref="B13:G13"/>
    <mergeCell ref="H13:M13"/>
    <mergeCell ref="N13:S13"/>
    <mergeCell ref="T13:Y13"/>
    <mergeCell ref="B14:G14"/>
    <mergeCell ref="H14:M14"/>
    <mergeCell ref="N14:S14"/>
    <mergeCell ref="T14:Y14"/>
    <mergeCell ref="B15:G15"/>
    <mergeCell ref="H15:M15"/>
    <mergeCell ref="N15:S15"/>
    <mergeCell ref="T15:Y15"/>
    <mergeCell ref="B16:G16"/>
    <mergeCell ref="H16:M16"/>
    <mergeCell ref="N16:S16"/>
    <mergeCell ref="T16:Y16"/>
    <mergeCell ref="B17:G17"/>
    <mergeCell ref="H17:M17"/>
    <mergeCell ref="N17:S17"/>
    <mergeCell ref="T17:Y17"/>
    <mergeCell ref="AI23:AI24"/>
    <mergeCell ref="AD17:AE17"/>
    <mergeCell ref="N18:Y18"/>
    <mergeCell ref="P19:S20"/>
    <mergeCell ref="T19:W20"/>
    <mergeCell ref="N21:Y21"/>
    <mergeCell ref="A25:A29"/>
    <mergeCell ref="B25:B29"/>
    <mergeCell ref="AD22:AG22"/>
    <mergeCell ref="A23:A24"/>
    <mergeCell ref="B23:B24"/>
    <mergeCell ref="C23:C24"/>
  </mergeCells>
  <phoneticPr fontId="2" type="noConversion"/>
  <pageMargins left="0.7" right="0.7" top="0.75" bottom="0.75" header="0.3" footer="0.3"/>
  <pageSetup paperSize="9" scale="73" orientation="landscape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J30"/>
  <sheetViews>
    <sheetView showGridLines="0" showZeros="0" zoomScale="90" zoomScaleNormal="90" workbookViewId="0">
      <selection activeCell="J35" sqref="J35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9" customWidth="1"/>
    <col min="32" max="33" width="4.625" style="9" hidden="1" customWidth="1"/>
    <col min="34" max="34" width="4" style="1" hidden="1" customWidth="1"/>
    <col min="35" max="35" width="6.5" style="1" bestFit="1" customWidth="1"/>
    <col min="36" max="36" width="4.25" style="1" customWidth="1"/>
    <col min="37" max="38" width="3.75" style="1" customWidth="1"/>
    <col min="39" max="62" width="3.25" style="1" customWidth="1"/>
    <col min="63" max="65" width="2.125" style="1" customWidth="1"/>
    <col min="66" max="16384" width="3.625" style="1"/>
  </cols>
  <sheetData>
    <row r="1" spans="2:36" ht="16.5" customHeight="1">
      <c r="B1" s="149" t="s">
        <v>44</v>
      </c>
      <c r="C1" s="149"/>
      <c r="D1" s="149"/>
      <c r="E1" s="149"/>
      <c r="F1" s="149"/>
      <c r="G1" s="149"/>
    </row>
    <row r="2" spans="2:36" ht="17.25" customHeight="1" thickBot="1">
      <c r="B2" s="150"/>
      <c r="C2" s="150"/>
      <c r="D2" s="150"/>
      <c r="E2" s="150"/>
      <c r="F2" s="150"/>
      <c r="G2" s="150"/>
    </row>
    <row r="3" spans="2:36" ht="16.5">
      <c r="B3" s="151" t="s">
        <v>0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 t="s">
        <v>1</v>
      </c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3"/>
    </row>
    <row r="4" spans="2:36" ht="16.5" customHeight="1">
      <c r="B4" s="135" t="s">
        <v>2</v>
      </c>
      <c r="C4" s="136"/>
      <c r="D4" s="136"/>
      <c r="E4" s="136"/>
      <c r="F4" s="136"/>
      <c r="G4" s="137"/>
      <c r="H4" s="148">
        <f>AI25</f>
        <v>192</v>
      </c>
      <c r="I4" s="148"/>
      <c r="J4" s="148"/>
      <c r="K4" s="117">
        <f>H4*10320</f>
        <v>1981440</v>
      </c>
      <c r="L4" s="117"/>
      <c r="M4" s="117"/>
      <c r="N4" s="137" t="s">
        <v>29</v>
      </c>
      <c r="O4" s="142"/>
      <c r="P4" s="142"/>
      <c r="Q4" s="142"/>
      <c r="R4" s="142"/>
      <c r="S4" s="143"/>
      <c r="T4" s="126">
        <v>99750</v>
      </c>
      <c r="U4" s="127"/>
      <c r="V4" s="127"/>
      <c r="W4" s="127"/>
      <c r="X4" s="127"/>
      <c r="Y4" s="144"/>
    </row>
    <row r="5" spans="2:36" ht="16.5" customHeight="1">
      <c r="B5" s="141" t="s">
        <v>3</v>
      </c>
      <c r="C5" s="142"/>
      <c r="D5" s="142"/>
      <c r="E5" s="142"/>
      <c r="F5" s="142"/>
      <c r="G5" s="143"/>
      <c r="H5" s="148">
        <f>AI26</f>
        <v>14</v>
      </c>
      <c r="I5" s="148"/>
      <c r="J5" s="148"/>
      <c r="K5" s="117">
        <f>H5*10320*1.5</f>
        <v>216720</v>
      </c>
      <c r="L5" s="117"/>
      <c r="M5" s="117"/>
      <c r="N5" s="137" t="s">
        <v>30</v>
      </c>
      <c r="O5" s="142"/>
      <c r="P5" s="142"/>
      <c r="Q5" s="142"/>
      <c r="R5" s="142"/>
      <c r="S5" s="143"/>
      <c r="T5" s="126">
        <f>H17*3.595%</f>
        <v>95851.328000000009</v>
      </c>
      <c r="U5" s="127"/>
      <c r="V5" s="127"/>
      <c r="W5" s="127"/>
      <c r="X5" s="127"/>
      <c r="Y5" s="144"/>
    </row>
    <row r="6" spans="2:36" ht="16.5" customHeight="1">
      <c r="B6" s="141" t="s">
        <v>4</v>
      </c>
      <c r="C6" s="142"/>
      <c r="D6" s="142"/>
      <c r="E6" s="142"/>
      <c r="F6" s="142"/>
      <c r="G6" s="143"/>
      <c r="H6" s="148"/>
      <c r="I6" s="148"/>
      <c r="J6" s="148"/>
      <c r="K6" s="117"/>
      <c r="L6" s="117"/>
      <c r="M6" s="117"/>
      <c r="N6" s="137" t="s">
        <v>17</v>
      </c>
      <c r="O6" s="142"/>
      <c r="P6" s="142"/>
      <c r="Q6" s="142"/>
      <c r="R6" s="142"/>
      <c r="S6" s="143"/>
      <c r="T6" s="126">
        <f>T5*13.14%</f>
        <v>12594.864499200003</v>
      </c>
      <c r="U6" s="127"/>
      <c r="V6" s="127"/>
      <c r="W6" s="127"/>
      <c r="X6" s="127"/>
      <c r="Y6" s="144"/>
      <c r="AI6" s="154"/>
      <c r="AJ6" s="154"/>
    </row>
    <row r="7" spans="2:36" ht="16.5" customHeight="1">
      <c r="B7" s="141" t="s">
        <v>5</v>
      </c>
      <c r="C7" s="142"/>
      <c r="D7" s="142"/>
      <c r="E7" s="142"/>
      <c r="F7" s="142"/>
      <c r="G7" s="143"/>
      <c r="H7" s="148">
        <f>AI27</f>
        <v>24</v>
      </c>
      <c r="I7" s="148"/>
      <c r="J7" s="148"/>
      <c r="K7" s="117">
        <f>H7*10320*1.5</f>
        <v>371520</v>
      </c>
      <c r="L7" s="117"/>
      <c r="M7" s="117"/>
      <c r="N7" s="137" t="s">
        <v>31</v>
      </c>
      <c r="O7" s="142"/>
      <c r="P7" s="142"/>
      <c r="Q7" s="142"/>
      <c r="R7" s="142"/>
      <c r="S7" s="143"/>
      <c r="T7" s="126">
        <f>H17*0.9%</f>
        <v>23996.160000000003</v>
      </c>
      <c r="U7" s="127"/>
      <c r="V7" s="127"/>
      <c r="W7" s="127"/>
      <c r="X7" s="127"/>
      <c r="Y7" s="144"/>
      <c r="AI7" s="154"/>
      <c r="AJ7" s="154"/>
    </row>
    <row r="8" spans="2:36" ht="16.5" customHeight="1">
      <c r="B8" s="141" t="s">
        <v>6</v>
      </c>
      <c r="C8" s="142"/>
      <c r="D8" s="142"/>
      <c r="E8" s="142"/>
      <c r="F8" s="142"/>
      <c r="G8" s="143"/>
      <c r="H8" s="145"/>
      <c r="I8" s="146"/>
      <c r="J8" s="147"/>
      <c r="K8" s="126">
        <f>H8*9860*2</f>
        <v>0</v>
      </c>
      <c r="L8" s="127"/>
      <c r="M8" s="128"/>
      <c r="N8" s="137" t="s">
        <v>32</v>
      </c>
      <c r="O8" s="142"/>
      <c r="P8" s="142"/>
      <c r="Q8" s="142"/>
      <c r="R8" s="142"/>
      <c r="S8" s="143"/>
      <c r="T8" s="126">
        <v>44820</v>
      </c>
      <c r="U8" s="127"/>
      <c r="V8" s="127"/>
      <c r="W8" s="127"/>
      <c r="X8" s="127"/>
      <c r="Y8" s="144"/>
      <c r="AI8" s="154"/>
      <c r="AJ8" s="154"/>
    </row>
    <row r="9" spans="2:36" ht="16.5" customHeight="1">
      <c r="B9" s="141" t="s">
        <v>28</v>
      </c>
      <c r="C9" s="142"/>
      <c r="D9" s="142"/>
      <c r="E9" s="142"/>
      <c r="F9" s="142"/>
      <c r="G9" s="143"/>
      <c r="H9" s="145">
        <f>AI29</f>
        <v>0</v>
      </c>
      <c r="I9" s="146"/>
      <c r="J9" s="147"/>
      <c r="K9" s="117"/>
      <c r="L9" s="117"/>
      <c r="M9" s="117"/>
      <c r="N9" s="136" t="s">
        <v>33</v>
      </c>
      <c r="O9" s="136"/>
      <c r="P9" s="136"/>
      <c r="Q9" s="136"/>
      <c r="R9" s="136"/>
      <c r="S9" s="136"/>
      <c r="T9" s="126">
        <f>T8*10%</f>
        <v>4482</v>
      </c>
      <c r="U9" s="127"/>
      <c r="V9" s="127"/>
      <c r="W9" s="127"/>
      <c r="X9" s="127"/>
      <c r="Y9" s="144"/>
      <c r="AI9" s="104"/>
      <c r="AJ9" s="104"/>
    </row>
    <row r="10" spans="2:36" ht="16.5" customHeight="1">
      <c r="B10" s="141" t="s">
        <v>37</v>
      </c>
      <c r="C10" s="142"/>
      <c r="D10" s="142"/>
      <c r="E10" s="142"/>
      <c r="F10" s="142"/>
      <c r="G10" s="143"/>
      <c r="H10" s="126">
        <v>82560</v>
      </c>
      <c r="I10" s="127"/>
      <c r="J10" s="127"/>
      <c r="K10" s="127"/>
      <c r="L10" s="127"/>
      <c r="M10" s="128"/>
      <c r="N10" s="136" t="s">
        <v>62</v>
      </c>
      <c r="O10" s="136"/>
      <c r="P10" s="136"/>
      <c r="Q10" s="136"/>
      <c r="R10" s="136"/>
      <c r="S10" s="136"/>
      <c r="T10" s="117">
        <v>2377006</v>
      </c>
      <c r="U10" s="117"/>
      <c r="V10" s="117"/>
      <c r="W10" s="117"/>
      <c r="X10" s="117"/>
      <c r="Y10" s="118"/>
      <c r="Z10" s="2"/>
      <c r="AA10" s="2"/>
    </row>
    <row r="11" spans="2:36" ht="16.5" customHeight="1">
      <c r="B11" s="141" t="s">
        <v>59</v>
      </c>
      <c r="C11" s="142"/>
      <c r="D11" s="142"/>
      <c r="E11" s="142"/>
      <c r="F11" s="142"/>
      <c r="G11" s="143"/>
      <c r="H11" s="126">
        <v>14000</v>
      </c>
      <c r="I11" s="127"/>
      <c r="J11" s="127"/>
      <c r="K11" s="127"/>
      <c r="L11" s="127"/>
      <c r="M11" s="128"/>
      <c r="N11" s="136" t="s">
        <v>77</v>
      </c>
      <c r="O11" s="136"/>
      <c r="P11" s="136"/>
      <c r="Q11" s="136"/>
      <c r="R11" s="136"/>
      <c r="S11" s="136"/>
      <c r="T11" s="126">
        <v>7740</v>
      </c>
      <c r="U11" s="127"/>
      <c r="V11" s="127"/>
      <c r="W11" s="127"/>
      <c r="X11" s="127"/>
      <c r="Y11" s="144"/>
      <c r="Z11" s="2"/>
      <c r="AA11" s="2"/>
    </row>
    <row r="12" spans="2:36" ht="16.5">
      <c r="B12" s="135"/>
      <c r="C12" s="136"/>
      <c r="D12" s="136"/>
      <c r="E12" s="136"/>
      <c r="F12" s="136"/>
      <c r="G12" s="137"/>
      <c r="H12" s="117"/>
      <c r="I12" s="117"/>
      <c r="J12" s="117"/>
      <c r="K12" s="117"/>
      <c r="L12" s="117"/>
      <c r="M12" s="117"/>
      <c r="N12" s="138"/>
      <c r="O12" s="138"/>
      <c r="P12" s="138"/>
      <c r="Q12" s="138"/>
      <c r="R12" s="138"/>
      <c r="S12" s="138"/>
      <c r="T12" s="139"/>
      <c r="U12" s="139"/>
      <c r="V12" s="139"/>
      <c r="W12" s="139"/>
      <c r="X12" s="139"/>
      <c r="Y12" s="140"/>
      <c r="Z12" s="2"/>
      <c r="AA12" s="2"/>
    </row>
    <row r="13" spans="2:36" ht="17.25" customHeight="1">
      <c r="B13" s="114"/>
      <c r="C13" s="115"/>
      <c r="D13" s="115"/>
      <c r="E13" s="115"/>
      <c r="F13" s="115"/>
      <c r="G13" s="116"/>
      <c r="H13" s="126"/>
      <c r="I13" s="127"/>
      <c r="J13" s="127"/>
      <c r="K13" s="127"/>
      <c r="L13" s="127"/>
      <c r="M13" s="127"/>
      <c r="N13" s="115"/>
      <c r="O13" s="115"/>
      <c r="P13" s="115"/>
      <c r="Q13" s="115"/>
      <c r="R13" s="115"/>
      <c r="S13" s="115"/>
      <c r="T13" s="117"/>
      <c r="U13" s="117"/>
      <c r="V13" s="117"/>
      <c r="W13" s="117"/>
      <c r="X13" s="117"/>
      <c r="Y13" s="118"/>
      <c r="Z13" s="2"/>
      <c r="AA13" s="2"/>
    </row>
    <row r="14" spans="2:36" ht="16.5">
      <c r="B14" s="124"/>
      <c r="C14" s="125"/>
      <c r="D14" s="125"/>
      <c r="E14" s="125"/>
      <c r="F14" s="125"/>
      <c r="G14" s="125"/>
      <c r="H14" s="126"/>
      <c r="I14" s="127"/>
      <c r="J14" s="127"/>
      <c r="K14" s="127"/>
      <c r="L14" s="127"/>
      <c r="M14" s="128"/>
      <c r="N14" s="129"/>
      <c r="O14" s="130"/>
      <c r="P14" s="130"/>
      <c r="Q14" s="130"/>
      <c r="R14" s="130"/>
      <c r="S14" s="131"/>
      <c r="T14" s="132"/>
      <c r="U14" s="133"/>
      <c r="V14" s="133"/>
      <c r="W14" s="133"/>
      <c r="X14" s="133"/>
      <c r="Y14" s="134"/>
      <c r="Z14" s="2"/>
      <c r="AA14" s="2"/>
    </row>
    <row r="15" spans="2:36" ht="16.5">
      <c r="B15" s="114"/>
      <c r="C15" s="115"/>
      <c r="D15" s="115"/>
      <c r="E15" s="115"/>
      <c r="F15" s="115"/>
      <c r="G15" s="116"/>
      <c r="H15" s="117"/>
      <c r="I15" s="117"/>
      <c r="J15" s="117"/>
      <c r="K15" s="117"/>
      <c r="L15" s="117"/>
      <c r="M15" s="117"/>
      <c r="N15" s="115"/>
      <c r="O15" s="115"/>
      <c r="P15" s="115"/>
      <c r="Q15" s="115"/>
      <c r="R15" s="115"/>
      <c r="S15" s="115"/>
      <c r="T15" s="117"/>
      <c r="U15" s="117"/>
      <c r="V15" s="117"/>
      <c r="W15" s="117"/>
      <c r="X15" s="117"/>
      <c r="Y15" s="118"/>
      <c r="Z15" s="2"/>
      <c r="AA15" s="2"/>
    </row>
    <row r="16" spans="2:36" ht="16.5">
      <c r="B16" s="114"/>
      <c r="C16" s="115"/>
      <c r="D16" s="115"/>
      <c r="E16" s="115"/>
      <c r="F16" s="115"/>
      <c r="G16" s="116"/>
      <c r="H16" s="117"/>
      <c r="I16" s="117"/>
      <c r="J16" s="117"/>
      <c r="K16" s="117"/>
      <c r="L16" s="117"/>
      <c r="M16" s="117"/>
      <c r="N16" s="115" t="s">
        <v>7</v>
      </c>
      <c r="O16" s="115"/>
      <c r="P16" s="115"/>
      <c r="Q16" s="115"/>
      <c r="R16" s="115"/>
      <c r="S16" s="115"/>
      <c r="T16" s="117">
        <f>SUM(T4:Y12)</f>
        <v>2666240.3524992</v>
      </c>
      <c r="U16" s="117"/>
      <c r="V16" s="117"/>
      <c r="W16" s="117"/>
      <c r="X16" s="117"/>
      <c r="Y16" s="118"/>
      <c r="Z16" s="9"/>
      <c r="AA16" s="9"/>
    </row>
    <row r="17" spans="1:35" ht="17.25" thickBot="1">
      <c r="B17" s="119" t="s">
        <v>8</v>
      </c>
      <c r="C17" s="120"/>
      <c r="D17" s="120"/>
      <c r="E17" s="120"/>
      <c r="F17" s="120"/>
      <c r="G17" s="121"/>
      <c r="H17" s="122">
        <f>SUM(K4,K5,K6,K7,K8,K9,H10,H11,H12,H13,H14,H15,H16)</f>
        <v>2666240</v>
      </c>
      <c r="I17" s="122"/>
      <c r="J17" s="122"/>
      <c r="K17" s="122"/>
      <c r="L17" s="122"/>
      <c r="M17" s="122"/>
      <c r="N17" s="120" t="s">
        <v>9</v>
      </c>
      <c r="O17" s="120"/>
      <c r="P17" s="120"/>
      <c r="Q17" s="120"/>
      <c r="R17" s="120"/>
      <c r="S17" s="120"/>
      <c r="T17" s="122">
        <f>H17-T16</f>
        <v>-0.35249920003116131</v>
      </c>
      <c r="U17" s="122"/>
      <c r="V17" s="122"/>
      <c r="W17" s="122"/>
      <c r="X17" s="122"/>
      <c r="Y17" s="123"/>
      <c r="Z17" s="9"/>
      <c r="AA17" s="9"/>
      <c r="AD17" s="104"/>
      <c r="AE17" s="104"/>
    </row>
    <row r="18" spans="1:35" ht="21.75" customHeight="1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9"/>
      <c r="AA18" s="9"/>
    </row>
    <row r="19" spans="1:35" ht="16.5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O19" s="3"/>
      <c r="P19" s="106" t="s">
        <v>10</v>
      </c>
      <c r="Q19" s="104"/>
      <c r="R19" s="104"/>
      <c r="S19" s="104"/>
      <c r="T19" s="107" t="s">
        <v>50</v>
      </c>
      <c r="U19" s="107"/>
      <c r="V19" s="107"/>
      <c r="W19" s="107"/>
      <c r="Z19" s="9"/>
      <c r="AA19" s="4"/>
    </row>
    <row r="20" spans="1:35" ht="16.5"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P20" s="104"/>
      <c r="Q20" s="104"/>
      <c r="R20" s="104"/>
      <c r="S20" s="104"/>
      <c r="T20" s="107"/>
      <c r="U20" s="107"/>
      <c r="V20" s="107"/>
      <c r="W20" s="107"/>
      <c r="Z20" s="9"/>
      <c r="AA20" s="4"/>
    </row>
    <row r="21" spans="1:35" ht="17.25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108" t="s">
        <v>26</v>
      </c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9"/>
      <c r="AA21" s="9"/>
    </row>
    <row r="22" spans="1:35" s="12" customFormat="1" ht="17.25" thickBot="1">
      <c r="X22" s="13"/>
      <c r="AD22" s="109"/>
      <c r="AE22" s="109"/>
      <c r="AF22" s="109"/>
      <c r="AG22" s="109"/>
    </row>
    <row r="23" spans="1:35" ht="16.5" customHeight="1">
      <c r="A23" s="110"/>
      <c r="B23" s="111" t="s">
        <v>11</v>
      </c>
      <c r="C23" s="112" t="s">
        <v>12</v>
      </c>
      <c r="D23" s="64">
        <v>1</v>
      </c>
      <c r="E23" s="57">
        <v>2</v>
      </c>
      <c r="F23" s="57">
        <v>3</v>
      </c>
      <c r="G23" s="57">
        <v>4</v>
      </c>
      <c r="H23" s="57">
        <v>5</v>
      </c>
      <c r="I23" s="57">
        <v>6</v>
      </c>
      <c r="J23" s="74">
        <v>7</v>
      </c>
      <c r="K23" s="69">
        <v>8</v>
      </c>
      <c r="L23" s="57">
        <v>9</v>
      </c>
      <c r="M23" s="57">
        <v>10</v>
      </c>
      <c r="N23" s="57">
        <v>11</v>
      </c>
      <c r="O23" s="57">
        <v>12</v>
      </c>
      <c r="P23" s="57">
        <v>13</v>
      </c>
      <c r="Q23" s="74">
        <v>14</v>
      </c>
      <c r="R23" s="69">
        <v>15</v>
      </c>
      <c r="S23" s="69">
        <v>16</v>
      </c>
      <c r="T23" s="69">
        <v>17</v>
      </c>
      <c r="U23" s="69">
        <v>18</v>
      </c>
      <c r="V23" s="57">
        <v>19</v>
      </c>
      <c r="W23" s="57">
        <v>20</v>
      </c>
      <c r="X23" s="74">
        <v>21</v>
      </c>
      <c r="Y23" s="69">
        <v>22</v>
      </c>
      <c r="Z23" s="57">
        <v>23</v>
      </c>
      <c r="AA23" s="57">
        <v>24</v>
      </c>
      <c r="AB23" s="85">
        <v>25</v>
      </c>
      <c r="AC23" s="57">
        <v>26</v>
      </c>
      <c r="AD23" s="57">
        <v>27</v>
      </c>
      <c r="AE23" s="74">
        <v>28</v>
      </c>
      <c r="AF23" s="57">
        <v>29</v>
      </c>
      <c r="AG23" s="57">
        <v>30</v>
      </c>
      <c r="AH23" s="79">
        <v>31</v>
      </c>
      <c r="AI23" s="97" t="s">
        <v>18</v>
      </c>
    </row>
    <row r="24" spans="1:35" ht="16.5" customHeight="1" thickBot="1">
      <c r="A24" s="110"/>
      <c r="B24" s="103"/>
      <c r="C24" s="113"/>
      <c r="D24" s="65" t="s">
        <v>72</v>
      </c>
      <c r="E24" s="58" t="s">
        <v>73</v>
      </c>
      <c r="F24" s="58" t="s">
        <v>19</v>
      </c>
      <c r="G24" s="58" t="s">
        <v>20</v>
      </c>
      <c r="H24" s="58" t="s">
        <v>21</v>
      </c>
      <c r="I24" s="58" t="s">
        <v>22</v>
      </c>
      <c r="J24" s="75" t="s">
        <v>23</v>
      </c>
      <c r="K24" s="70" t="s">
        <v>24</v>
      </c>
      <c r="L24" s="58" t="s">
        <v>25</v>
      </c>
      <c r="M24" s="58" t="s">
        <v>19</v>
      </c>
      <c r="N24" s="58" t="s">
        <v>20</v>
      </c>
      <c r="O24" s="58" t="s">
        <v>21</v>
      </c>
      <c r="P24" s="58" t="s">
        <v>22</v>
      </c>
      <c r="Q24" s="75" t="s">
        <v>23</v>
      </c>
      <c r="R24" s="70" t="s">
        <v>24</v>
      </c>
      <c r="S24" s="70" t="s">
        <v>25</v>
      </c>
      <c r="T24" s="70" t="s">
        <v>19</v>
      </c>
      <c r="U24" s="70" t="s">
        <v>20</v>
      </c>
      <c r="V24" s="58" t="s">
        <v>21</v>
      </c>
      <c r="W24" s="58" t="s">
        <v>22</v>
      </c>
      <c r="X24" s="75" t="s">
        <v>23</v>
      </c>
      <c r="Y24" s="70" t="s">
        <v>24</v>
      </c>
      <c r="Z24" s="58" t="s">
        <v>25</v>
      </c>
      <c r="AA24" s="58" t="s">
        <v>19</v>
      </c>
      <c r="AB24" s="58" t="s">
        <v>20</v>
      </c>
      <c r="AC24" s="58" t="s">
        <v>21</v>
      </c>
      <c r="AD24" s="58" t="s">
        <v>22</v>
      </c>
      <c r="AE24" s="75" t="s">
        <v>23</v>
      </c>
      <c r="AF24" s="58" t="s">
        <v>21</v>
      </c>
      <c r="AG24" s="58" t="s">
        <v>22</v>
      </c>
      <c r="AH24" s="80" t="s">
        <v>47</v>
      </c>
      <c r="AI24" s="98"/>
    </row>
    <row r="25" spans="1:35" ht="16.5">
      <c r="A25" s="99"/>
      <c r="B25" s="100" t="str">
        <f>T19</f>
        <v>강정희</v>
      </c>
      <c r="C25" s="34" t="s">
        <v>13</v>
      </c>
      <c r="D25" s="66">
        <v>8</v>
      </c>
      <c r="E25" s="59">
        <v>8</v>
      </c>
      <c r="F25" s="87">
        <v>8</v>
      </c>
      <c r="G25" s="59">
        <v>8</v>
      </c>
      <c r="H25" s="59">
        <v>8</v>
      </c>
      <c r="I25" s="59">
        <v>8</v>
      </c>
      <c r="J25" s="76"/>
      <c r="K25" s="71">
        <v>8</v>
      </c>
      <c r="L25" s="59">
        <v>8</v>
      </c>
      <c r="M25" s="59">
        <v>8</v>
      </c>
      <c r="N25" s="59">
        <v>8</v>
      </c>
      <c r="O25" s="59">
        <v>8</v>
      </c>
      <c r="P25" s="59">
        <v>8</v>
      </c>
      <c r="Q25" s="76"/>
      <c r="R25" s="71">
        <v>8</v>
      </c>
      <c r="S25" s="71">
        <v>8</v>
      </c>
      <c r="T25" s="71">
        <v>8</v>
      </c>
      <c r="U25" s="71">
        <v>8</v>
      </c>
      <c r="V25" s="59">
        <v>8</v>
      </c>
      <c r="W25" s="59">
        <v>8</v>
      </c>
      <c r="X25" s="76"/>
      <c r="Y25" s="71">
        <v>8</v>
      </c>
      <c r="Z25" s="59">
        <v>8</v>
      </c>
      <c r="AA25" s="59">
        <v>8</v>
      </c>
      <c r="AB25" s="59">
        <v>8</v>
      </c>
      <c r="AC25" s="59">
        <v>8</v>
      </c>
      <c r="AD25" s="59">
        <v>8</v>
      </c>
      <c r="AE25" s="90"/>
      <c r="AF25" s="88"/>
      <c r="AG25" s="59"/>
      <c r="AH25" s="81"/>
      <c r="AI25" s="54">
        <f>SUM(D25:AH25)</f>
        <v>192</v>
      </c>
    </row>
    <row r="26" spans="1:35" ht="16.5">
      <c r="A26" s="99"/>
      <c r="B26" s="101"/>
      <c r="C26" s="35" t="s">
        <v>14</v>
      </c>
      <c r="D26" s="67"/>
      <c r="E26" s="60">
        <v>2</v>
      </c>
      <c r="F26" s="60">
        <v>2</v>
      </c>
      <c r="G26" s="60">
        <v>2</v>
      </c>
      <c r="H26" s="60">
        <v>2</v>
      </c>
      <c r="I26" s="60"/>
      <c r="J26" s="77"/>
      <c r="K26" s="72"/>
      <c r="L26" s="60">
        <v>2</v>
      </c>
      <c r="M26" s="60">
        <v>2</v>
      </c>
      <c r="N26" s="60"/>
      <c r="O26" s="60">
        <v>2</v>
      </c>
      <c r="P26" s="60"/>
      <c r="Q26" s="77"/>
      <c r="R26" s="72"/>
      <c r="S26" s="72"/>
      <c r="T26" s="72"/>
      <c r="U26" s="72"/>
      <c r="V26" s="60"/>
      <c r="W26" s="60"/>
      <c r="X26" s="77"/>
      <c r="Y26" s="72"/>
      <c r="Z26" s="60"/>
      <c r="AA26" s="60"/>
      <c r="AB26" s="60"/>
      <c r="AC26" s="60"/>
      <c r="AD26" s="60"/>
      <c r="AE26" s="91"/>
      <c r="AF26" s="89"/>
      <c r="AG26" s="60"/>
      <c r="AH26" s="82"/>
      <c r="AI26" s="55">
        <f>SUM(D26:AH26)</f>
        <v>14</v>
      </c>
    </row>
    <row r="27" spans="1:35" ht="16.5">
      <c r="A27" s="99"/>
      <c r="B27" s="101"/>
      <c r="C27" s="35" t="s">
        <v>15</v>
      </c>
      <c r="D27" s="67"/>
      <c r="E27" s="60"/>
      <c r="F27" s="60"/>
      <c r="G27" s="60"/>
      <c r="H27" s="60"/>
      <c r="I27" s="60"/>
      <c r="J27" s="77">
        <v>8</v>
      </c>
      <c r="K27" s="72"/>
      <c r="L27" s="60"/>
      <c r="M27" s="60"/>
      <c r="N27" s="60"/>
      <c r="O27" s="60"/>
      <c r="P27" s="60"/>
      <c r="Q27" s="77">
        <v>8</v>
      </c>
      <c r="R27" s="72"/>
      <c r="S27" s="72"/>
      <c r="T27" s="72"/>
      <c r="U27" s="72"/>
      <c r="V27" s="60"/>
      <c r="W27" s="60"/>
      <c r="X27" s="77"/>
      <c r="Y27" s="72"/>
      <c r="Z27" s="60"/>
      <c r="AA27" s="60"/>
      <c r="AB27" s="60"/>
      <c r="AC27" s="60"/>
      <c r="AD27" s="60"/>
      <c r="AE27" s="91">
        <v>8</v>
      </c>
      <c r="AF27" s="89"/>
      <c r="AG27" s="60"/>
      <c r="AH27" s="82"/>
      <c r="AI27" s="55">
        <f>SUM(D27:AH27)</f>
        <v>24</v>
      </c>
    </row>
    <row r="28" spans="1:35" ht="16.5">
      <c r="A28" s="99"/>
      <c r="B28" s="102"/>
      <c r="C28" s="15" t="s">
        <v>27</v>
      </c>
      <c r="D28" s="67"/>
      <c r="E28" s="60"/>
      <c r="F28" s="60"/>
      <c r="G28" s="60"/>
      <c r="H28" s="60"/>
      <c r="I28" s="60"/>
      <c r="J28" s="77"/>
      <c r="K28" s="72"/>
      <c r="L28" s="60"/>
      <c r="M28" s="60"/>
      <c r="N28" s="60"/>
      <c r="O28" s="60"/>
      <c r="P28" s="60"/>
      <c r="Q28" s="77"/>
      <c r="R28" s="72"/>
      <c r="S28" s="72"/>
      <c r="T28" s="72"/>
      <c r="U28" s="72"/>
      <c r="V28" s="60"/>
      <c r="W28" s="60"/>
      <c r="X28" s="77"/>
      <c r="Y28" s="72"/>
      <c r="Z28" s="60"/>
      <c r="AA28" s="60"/>
      <c r="AB28" s="60"/>
      <c r="AC28" s="60"/>
      <c r="AD28" s="60"/>
      <c r="AE28" s="91"/>
      <c r="AF28" s="89"/>
      <c r="AG28" s="60"/>
      <c r="AH28" s="82"/>
      <c r="AI28" s="55">
        <f>SUM(D28:AH28)</f>
        <v>0</v>
      </c>
    </row>
    <row r="29" spans="1:35" ht="17.25" thickBot="1">
      <c r="A29" s="99"/>
      <c r="B29" s="103"/>
      <c r="C29" s="46" t="s">
        <v>34</v>
      </c>
      <c r="D29" s="68"/>
      <c r="E29" s="61"/>
      <c r="F29" s="61"/>
      <c r="G29" s="61"/>
      <c r="H29" s="61"/>
      <c r="I29" s="61"/>
      <c r="J29" s="78"/>
      <c r="K29" s="73"/>
      <c r="L29" s="61"/>
      <c r="M29" s="61"/>
      <c r="N29" s="61"/>
      <c r="O29" s="61"/>
      <c r="P29" s="61"/>
      <c r="Q29" s="78"/>
      <c r="R29" s="73"/>
      <c r="S29" s="73"/>
      <c r="T29" s="73"/>
      <c r="U29" s="73"/>
      <c r="V29" s="61"/>
      <c r="W29" s="61"/>
      <c r="X29" s="78"/>
      <c r="Y29" s="73"/>
      <c r="Z29" s="84"/>
      <c r="AA29" s="61"/>
      <c r="AB29" s="86"/>
      <c r="AC29" s="61"/>
      <c r="AD29" s="61"/>
      <c r="AE29" s="93"/>
      <c r="AF29" s="63"/>
      <c r="AG29" s="61"/>
      <c r="AH29" s="83"/>
      <c r="AI29" s="56">
        <f>SUM(D29:AH29)</f>
        <v>0</v>
      </c>
    </row>
    <row r="30" spans="1:35" ht="18" customHeight="1"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8"/>
      <c r="AE30" s="18"/>
      <c r="AF30" s="18"/>
      <c r="AG30" s="18"/>
      <c r="AH30" s="17"/>
    </row>
  </sheetData>
  <mergeCells count="81">
    <mergeCell ref="A25:A29"/>
    <mergeCell ref="B25:B29"/>
    <mergeCell ref="AD22:AG22"/>
    <mergeCell ref="A23:A24"/>
    <mergeCell ref="B23:B24"/>
    <mergeCell ref="C23:C24"/>
    <mergeCell ref="AI23:AI24"/>
    <mergeCell ref="AD17:AE17"/>
    <mergeCell ref="N18:Y18"/>
    <mergeCell ref="P19:S20"/>
    <mergeCell ref="T19:W20"/>
    <mergeCell ref="N21:Y21"/>
    <mergeCell ref="B16:G16"/>
    <mergeCell ref="H16:M16"/>
    <mergeCell ref="N16:S16"/>
    <mergeCell ref="T16:Y16"/>
    <mergeCell ref="B17:G17"/>
    <mergeCell ref="H17:M17"/>
    <mergeCell ref="N17:S17"/>
    <mergeCell ref="T17:Y17"/>
    <mergeCell ref="B14:G14"/>
    <mergeCell ref="H14:M14"/>
    <mergeCell ref="N14:S14"/>
    <mergeCell ref="T14:Y14"/>
    <mergeCell ref="B15:G15"/>
    <mergeCell ref="H15:M15"/>
    <mergeCell ref="N15:S15"/>
    <mergeCell ref="T15:Y15"/>
    <mergeCell ref="B12:G12"/>
    <mergeCell ref="H12:M12"/>
    <mergeCell ref="N12:S12"/>
    <mergeCell ref="T12:Y12"/>
    <mergeCell ref="B13:G13"/>
    <mergeCell ref="H13:M13"/>
    <mergeCell ref="N13:S13"/>
    <mergeCell ref="T13:Y13"/>
    <mergeCell ref="B10:G10"/>
    <mergeCell ref="H10:M10"/>
    <mergeCell ref="N10:S10"/>
    <mergeCell ref="T10:Y10"/>
    <mergeCell ref="B11:G11"/>
    <mergeCell ref="H11:M11"/>
    <mergeCell ref="N11:S11"/>
    <mergeCell ref="T11:Y11"/>
    <mergeCell ref="AI9:AJ9"/>
    <mergeCell ref="B8:G8"/>
    <mergeCell ref="H8:J8"/>
    <mergeCell ref="K8:M8"/>
    <mergeCell ref="N8:S8"/>
    <mergeCell ref="T8:Y8"/>
    <mergeCell ref="AI8:AJ8"/>
    <mergeCell ref="B9:G9"/>
    <mergeCell ref="H9:J9"/>
    <mergeCell ref="K9:M9"/>
    <mergeCell ref="N9:S9"/>
    <mergeCell ref="T9:Y9"/>
    <mergeCell ref="AI6:AJ6"/>
    <mergeCell ref="B7:G7"/>
    <mergeCell ref="H7:J7"/>
    <mergeCell ref="K7:M7"/>
    <mergeCell ref="N7:S7"/>
    <mergeCell ref="T7:Y7"/>
    <mergeCell ref="AI7:AJ7"/>
    <mergeCell ref="B6:G6"/>
    <mergeCell ref="H6:J6"/>
    <mergeCell ref="K6:M6"/>
    <mergeCell ref="N6:S6"/>
    <mergeCell ref="T6:Y6"/>
    <mergeCell ref="B5:G5"/>
    <mergeCell ref="H5:J5"/>
    <mergeCell ref="K5:M5"/>
    <mergeCell ref="N5:S5"/>
    <mergeCell ref="T5:Y5"/>
    <mergeCell ref="B1:G2"/>
    <mergeCell ref="B3:M3"/>
    <mergeCell ref="N3:Y3"/>
    <mergeCell ref="B4:G4"/>
    <mergeCell ref="H4:J4"/>
    <mergeCell ref="K4:M4"/>
    <mergeCell ref="N4:S4"/>
    <mergeCell ref="T4:Y4"/>
  </mergeCells>
  <phoneticPr fontId="2" type="noConversion"/>
  <conditionalFormatting sqref="F25">
    <cfRule type="containsText" dxfId="2" priority="1" operator="containsText" text="결근">
      <formula>NOT(ISERROR(SEARCH("결근",F25)))</formula>
    </cfRule>
    <cfRule type="containsText" dxfId="1" priority="2" operator="containsText" text="퇴사">
      <formula>NOT(ISERROR(SEARCH("퇴사",F25)))</formula>
    </cfRule>
    <cfRule type="containsText" dxfId="0" priority="3" operator="containsText" text="입사">
      <formula>NOT(ISERROR(SEARCH("입사",F25)))</formula>
    </cfRule>
  </conditionalFormatting>
  <pageMargins left="0.7" right="0.7" top="0.75" bottom="0.75" header="0.3" footer="0.3"/>
  <pageSetup paperSize="9" scale="73" orientation="landscape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J30"/>
  <sheetViews>
    <sheetView showGridLines="0" showZeros="0" zoomScale="90" zoomScaleNormal="90" workbookViewId="0">
      <selection activeCell="K34" sqref="K34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9" customWidth="1"/>
    <col min="32" max="34" width="4.625" style="9" hidden="1" customWidth="1"/>
    <col min="35" max="35" width="6.5" style="1" bestFit="1" customWidth="1"/>
    <col min="36" max="36" width="4.25" style="1" customWidth="1"/>
    <col min="37" max="38" width="3.75" style="1" customWidth="1"/>
    <col min="39" max="62" width="3.25" style="1" customWidth="1"/>
    <col min="63" max="65" width="2.125" style="1" customWidth="1"/>
    <col min="66" max="16384" width="3.625" style="1"/>
  </cols>
  <sheetData>
    <row r="1" spans="2:36" ht="16.5" customHeight="1">
      <c r="B1" s="149" t="s">
        <v>44</v>
      </c>
      <c r="C1" s="149"/>
      <c r="D1" s="149"/>
      <c r="E1" s="149"/>
      <c r="F1" s="149"/>
      <c r="G1" s="149"/>
    </row>
    <row r="2" spans="2:36" ht="17.25" customHeight="1" thickBot="1">
      <c r="B2" s="150"/>
      <c r="C2" s="150"/>
      <c r="D2" s="150"/>
      <c r="E2" s="150"/>
      <c r="F2" s="150"/>
      <c r="G2" s="150"/>
    </row>
    <row r="3" spans="2:36" ht="16.5">
      <c r="B3" s="151" t="s">
        <v>0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 t="s">
        <v>1</v>
      </c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3"/>
    </row>
    <row r="4" spans="2:36" ht="16.5" customHeight="1">
      <c r="B4" s="135" t="s">
        <v>2</v>
      </c>
      <c r="C4" s="136"/>
      <c r="D4" s="136"/>
      <c r="E4" s="136"/>
      <c r="F4" s="136"/>
      <c r="G4" s="137"/>
      <c r="H4" s="148">
        <f>AI25</f>
        <v>190</v>
      </c>
      <c r="I4" s="148"/>
      <c r="J4" s="148"/>
      <c r="K4" s="117">
        <f>H4*10320</f>
        <v>1960800</v>
      </c>
      <c r="L4" s="117"/>
      <c r="M4" s="117"/>
      <c r="N4" s="137" t="s">
        <v>29</v>
      </c>
      <c r="O4" s="142"/>
      <c r="P4" s="142"/>
      <c r="Q4" s="142"/>
      <c r="R4" s="142"/>
      <c r="S4" s="143"/>
      <c r="T4" s="126">
        <v>99750</v>
      </c>
      <c r="U4" s="127"/>
      <c r="V4" s="127"/>
      <c r="W4" s="127"/>
      <c r="X4" s="127"/>
      <c r="Y4" s="144"/>
    </row>
    <row r="5" spans="2:36" ht="16.5" customHeight="1">
      <c r="B5" s="141" t="s">
        <v>3</v>
      </c>
      <c r="C5" s="142"/>
      <c r="D5" s="142"/>
      <c r="E5" s="142"/>
      <c r="F5" s="142"/>
      <c r="G5" s="143"/>
      <c r="H5" s="148">
        <f>AI26</f>
        <v>10</v>
      </c>
      <c r="I5" s="148"/>
      <c r="J5" s="148"/>
      <c r="K5" s="117">
        <f>H5*10320*1.5</f>
        <v>154800</v>
      </c>
      <c r="L5" s="117"/>
      <c r="M5" s="117"/>
      <c r="N5" s="137" t="s">
        <v>30</v>
      </c>
      <c r="O5" s="142"/>
      <c r="P5" s="142"/>
      <c r="Q5" s="142"/>
      <c r="R5" s="142"/>
      <c r="S5" s="143"/>
      <c r="T5" s="126">
        <f>H17*3.595%</f>
        <v>83804.483000000007</v>
      </c>
      <c r="U5" s="127"/>
      <c r="V5" s="127"/>
      <c r="W5" s="127"/>
      <c r="X5" s="127"/>
      <c r="Y5" s="144"/>
    </row>
    <row r="6" spans="2:36" ht="16.5" customHeight="1">
      <c r="B6" s="141" t="s">
        <v>4</v>
      </c>
      <c r="C6" s="142"/>
      <c r="D6" s="142"/>
      <c r="E6" s="142"/>
      <c r="F6" s="142"/>
      <c r="G6" s="143"/>
      <c r="H6" s="148"/>
      <c r="I6" s="148"/>
      <c r="J6" s="148"/>
      <c r="K6" s="117"/>
      <c r="L6" s="117"/>
      <c r="M6" s="117"/>
      <c r="N6" s="137" t="s">
        <v>17</v>
      </c>
      <c r="O6" s="142"/>
      <c r="P6" s="142"/>
      <c r="Q6" s="142"/>
      <c r="R6" s="142"/>
      <c r="S6" s="143"/>
      <c r="T6" s="126">
        <f>T5*13.14%</f>
        <v>11011.909066200002</v>
      </c>
      <c r="U6" s="127"/>
      <c r="V6" s="127"/>
      <c r="W6" s="127"/>
      <c r="X6" s="127"/>
      <c r="Y6" s="144"/>
      <c r="AI6" s="154"/>
      <c r="AJ6" s="154"/>
    </row>
    <row r="7" spans="2:36" ht="16.5" customHeight="1">
      <c r="B7" s="141" t="s">
        <v>5</v>
      </c>
      <c r="C7" s="142"/>
      <c r="D7" s="142"/>
      <c r="E7" s="142"/>
      <c r="F7" s="142"/>
      <c r="G7" s="143"/>
      <c r="H7" s="148">
        <f>AI27</f>
        <v>8</v>
      </c>
      <c r="I7" s="148"/>
      <c r="J7" s="148"/>
      <c r="K7" s="117">
        <f>H7*10320*1.5</f>
        <v>123840</v>
      </c>
      <c r="L7" s="117"/>
      <c r="M7" s="117"/>
      <c r="N7" s="137" t="s">
        <v>31</v>
      </c>
      <c r="O7" s="142"/>
      <c r="P7" s="142"/>
      <c r="Q7" s="142"/>
      <c r="R7" s="142"/>
      <c r="S7" s="143"/>
      <c r="T7" s="126">
        <f>H17*0.9%</f>
        <v>20980.260000000002</v>
      </c>
      <c r="U7" s="127"/>
      <c r="V7" s="127"/>
      <c r="W7" s="127"/>
      <c r="X7" s="127"/>
      <c r="Y7" s="144"/>
      <c r="AI7" s="154"/>
      <c r="AJ7" s="154"/>
    </row>
    <row r="8" spans="2:36" ht="16.5" customHeight="1">
      <c r="B8" s="141" t="s">
        <v>6</v>
      </c>
      <c r="C8" s="142"/>
      <c r="D8" s="142"/>
      <c r="E8" s="142"/>
      <c r="F8" s="142"/>
      <c r="G8" s="143"/>
      <c r="H8" s="145"/>
      <c r="I8" s="146"/>
      <c r="J8" s="147"/>
      <c r="K8" s="126">
        <f>H8*9860*2</f>
        <v>0</v>
      </c>
      <c r="L8" s="127"/>
      <c r="M8" s="128"/>
      <c r="N8" s="137" t="s">
        <v>32</v>
      </c>
      <c r="O8" s="142"/>
      <c r="P8" s="142"/>
      <c r="Q8" s="142"/>
      <c r="R8" s="142"/>
      <c r="S8" s="143"/>
      <c r="T8" s="126">
        <v>30130</v>
      </c>
      <c r="U8" s="127"/>
      <c r="V8" s="127"/>
      <c r="W8" s="127"/>
      <c r="X8" s="127"/>
      <c r="Y8" s="144"/>
      <c r="AI8" s="154"/>
      <c r="AJ8" s="154"/>
    </row>
    <row r="9" spans="2:36" ht="16.5" customHeight="1">
      <c r="B9" s="141" t="s">
        <v>28</v>
      </c>
      <c r="C9" s="142"/>
      <c r="D9" s="142"/>
      <c r="E9" s="142"/>
      <c r="F9" s="142"/>
      <c r="G9" s="143"/>
      <c r="H9" s="145">
        <f>AI29</f>
        <v>0</v>
      </c>
      <c r="I9" s="146"/>
      <c r="J9" s="147"/>
      <c r="K9" s="117"/>
      <c r="L9" s="117"/>
      <c r="M9" s="117"/>
      <c r="N9" s="136" t="s">
        <v>33</v>
      </c>
      <c r="O9" s="136"/>
      <c r="P9" s="136"/>
      <c r="Q9" s="136"/>
      <c r="R9" s="136"/>
      <c r="S9" s="136"/>
      <c r="T9" s="126">
        <f>T8*10%</f>
        <v>3013</v>
      </c>
      <c r="U9" s="127"/>
      <c r="V9" s="127"/>
      <c r="W9" s="127"/>
      <c r="X9" s="127"/>
      <c r="Y9" s="144"/>
      <c r="AI9" s="104"/>
      <c r="AJ9" s="104"/>
    </row>
    <row r="10" spans="2:36" ht="16.5" customHeight="1">
      <c r="B10" s="141" t="s">
        <v>38</v>
      </c>
      <c r="C10" s="142"/>
      <c r="D10" s="142"/>
      <c r="E10" s="142"/>
      <c r="F10" s="142"/>
      <c r="G10" s="143"/>
      <c r="H10" s="126">
        <v>81700</v>
      </c>
      <c r="I10" s="127"/>
      <c r="J10" s="127"/>
      <c r="K10" s="127"/>
      <c r="L10" s="127"/>
      <c r="M10" s="128"/>
      <c r="N10" s="136" t="s">
        <v>65</v>
      </c>
      <c r="O10" s="136"/>
      <c r="P10" s="136"/>
      <c r="Q10" s="136"/>
      <c r="R10" s="136"/>
      <c r="S10" s="136"/>
      <c r="T10" s="117">
        <v>2063130</v>
      </c>
      <c r="U10" s="117"/>
      <c r="V10" s="117"/>
      <c r="W10" s="117"/>
      <c r="X10" s="117"/>
      <c r="Y10" s="118"/>
      <c r="Z10" s="2"/>
      <c r="AA10" s="2"/>
    </row>
    <row r="11" spans="2:36" ht="16.5" customHeight="1">
      <c r="B11" s="141" t="s">
        <v>61</v>
      </c>
      <c r="C11" s="142"/>
      <c r="D11" s="142"/>
      <c r="E11" s="142"/>
      <c r="F11" s="142"/>
      <c r="G11" s="143"/>
      <c r="H11" s="126">
        <v>10000</v>
      </c>
      <c r="I11" s="127"/>
      <c r="J11" s="127"/>
      <c r="K11" s="127"/>
      <c r="L11" s="127"/>
      <c r="M11" s="128"/>
      <c r="N11" s="136" t="s">
        <v>77</v>
      </c>
      <c r="O11" s="136"/>
      <c r="P11" s="136"/>
      <c r="Q11" s="136"/>
      <c r="R11" s="136"/>
      <c r="S11" s="136"/>
      <c r="T11" s="126">
        <v>19320</v>
      </c>
      <c r="U11" s="127"/>
      <c r="V11" s="127"/>
      <c r="W11" s="127"/>
      <c r="X11" s="127"/>
      <c r="Y11" s="144"/>
      <c r="Z11" s="2"/>
      <c r="AA11" s="2"/>
    </row>
    <row r="12" spans="2:36" ht="16.5">
      <c r="B12" s="135"/>
      <c r="C12" s="136"/>
      <c r="D12" s="136"/>
      <c r="E12" s="136"/>
      <c r="F12" s="136"/>
      <c r="G12" s="137"/>
      <c r="H12" s="117"/>
      <c r="I12" s="117"/>
      <c r="J12" s="117"/>
      <c r="K12" s="117"/>
      <c r="L12" s="117"/>
      <c r="M12" s="117"/>
      <c r="N12" s="138"/>
      <c r="O12" s="138"/>
      <c r="P12" s="138"/>
      <c r="Q12" s="138"/>
      <c r="R12" s="138"/>
      <c r="S12" s="138"/>
      <c r="T12" s="139"/>
      <c r="U12" s="139"/>
      <c r="V12" s="139"/>
      <c r="W12" s="139"/>
      <c r="X12" s="139"/>
      <c r="Y12" s="140"/>
      <c r="Z12" s="2"/>
      <c r="AA12" s="2"/>
    </row>
    <row r="13" spans="2:36" ht="17.25" customHeight="1">
      <c r="B13" s="114"/>
      <c r="C13" s="115"/>
      <c r="D13" s="115"/>
      <c r="E13" s="115"/>
      <c r="F13" s="115"/>
      <c r="G13" s="116"/>
      <c r="H13" s="126"/>
      <c r="I13" s="127"/>
      <c r="J13" s="127"/>
      <c r="K13" s="127"/>
      <c r="L13" s="127"/>
      <c r="M13" s="127"/>
      <c r="N13" s="115"/>
      <c r="O13" s="115"/>
      <c r="P13" s="115"/>
      <c r="Q13" s="115"/>
      <c r="R13" s="115"/>
      <c r="S13" s="115"/>
      <c r="T13" s="117"/>
      <c r="U13" s="117"/>
      <c r="V13" s="117"/>
      <c r="W13" s="117"/>
      <c r="X13" s="117"/>
      <c r="Y13" s="118"/>
      <c r="Z13" s="2"/>
      <c r="AA13" s="2"/>
    </row>
    <row r="14" spans="2:36" ht="16.5">
      <c r="B14" s="124"/>
      <c r="C14" s="125"/>
      <c r="D14" s="125"/>
      <c r="E14" s="125"/>
      <c r="F14" s="125"/>
      <c r="G14" s="125"/>
      <c r="H14" s="126"/>
      <c r="I14" s="127"/>
      <c r="J14" s="127"/>
      <c r="K14" s="127"/>
      <c r="L14" s="127"/>
      <c r="M14" s="128"/>
      <c r="N14" s="129"/>
      <c r="O14" s="130"/>
      <c r="P14" s="130"/>
      <c r="Q14" s="130"/>
      <c r="R14" s="130"/>
      <c r="S14" s="131"/>
      <c r="T14" s="132"/>
      <c r="U14" s="133"/>
      <c r="V14" s="133"/>
      <c r="W14" s="133"/>
      <c r="X14" s="133"/>
      <c r="Y14" s="134"/>
      <c r="Z14" s="2"/>
      <c r="AA14" s="2"/>
    </row>
    <row r="15" spans="2:36" ht="16.5">
      <c r="B15" s="114"/>
      <c r="C15" s="115"/>
      <c r="D15" s="115"/>
      <c r="E15" s="115"/>
      <c r="F15" s="115"/>
      <c r="G15" s="116"/>
      <c r="H15" s="117"/>
      <c r="I15" s="117"/>
      <c r="J15" s="117"/>
      <c r="K15" s="117"/>
      <c r="L15" s="117"/>
      <c r="M15" s="117"/>
      <c r="N15" s="115"/>
      <c r="O15" s="115"/>
      <c r="P15" s="115"/>
      <c r="Q15" s="115"/>
      <c r="R15" s="115"/>
      <c r="S15" s="115"/>
      <c r="T15" s="117"/>
      <c r="U15" s="117"/>
      <c r="V15" s="117"/>
      <c r="W15" s="117"/>
      <c r="X15" s="117"/>
      <c r="Y15" s="118"/>
      <c r="Z15" s="2"/>
      <c r="AA15" s="2"/>
    </row>
    <row r="16" spans="2:36" ht="16.5">
      <c r="B16" s="114"/>
      <c r="C16" s="115"/>
      <c r="D16" s="115"/>
      <c r="E16" s="115"/>
      <c r="F16" s="115"/>
      <c r="G16" s="116"/>
      <c r="H16" s="117"/>
      <c r="I16" s="117"/>
      <c r="J16" s="117"/>
      <c r="K16" s="117"/>
      <c r="L16" s="117"/>
      <c r="M16" s="117"/>
      <c r="N16" s="115" t="s">
        <v>7</v>
      </c>
      <c r="O16" s="115"/>
      <c r="P16" s="115"/>
      <c r="Q16" s="115"/>
      <c r="R16" s="115"/>
      <c r="S16" s="115"/>
      <c r="T16" s="117">
        <f>SUM(T4:Y12)</f>
        <v>2331139.6520662</v>
      </c>
      <c r="U16" s="117"/>
      <c r="V16" s="117"/>
      <c r="W16" s="117"/>
      <c r="X16" s="117"/>
      <c r="Y16" s="118"/>
      <c r="Z16" s="9"/>
      <c r="AA16" s="9"/>
    </row>
    <row r="17" spans="1:35" ht="17.25" thickBot="1">
      <c r="B17" s="119" t="s">
        <v>8</v>
      </c>
      <c r="C17" s="120"/>
      <c r="D17" s="120"/>
      <c r="E17" s="120"/>
      <c r="F17" s="120"/>
      <c r="G17" s="121"/>
      <c r="H17" s="122">
        <f>SUM(K4,K5,K6,K7,K8,K9,H10,H11,H12,H13,H14,H15,H16)</f>
        <v>2331140</v>
      </c>
      <c r="I17" s="122"/>
      <c r="J17" s="122"/>
      <c r="K17" s="122"/>
      <c r="L17" s="122"/>
      <c r="M17" s="122"/>
      <c r="N17" s="120" t="s">
        <v>9</v>
      </c>
      <c r="O17" s="120"/>
      <c r="P17" s="120"/>
      <c r="Q17" s="120"/>
      <c r="R17" s="120"/>
      <c r="S17" s="120"/>
      <c r="T17" s="122">
        <f>H17-T16</f>
        <v>0.34793379995971918</v>
      </c>
      <c r="U17" s="122"/>
      <c r="V17" s="122"/>
      <c r="W17" s="122"/>
      <c r="X17" s="122"/>
      <c r="Y17" s="123"/>
      <c r="Z17" s="9"/>
      <c r="AA17" s="9"/>
      <c r="AD17" s="104"/>
      <c r="AE17" s="104"/>
    </row>
    <row r="18" spans="1:35" ht="21.75" customHeight="1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9"/>
      <c r="AA18" s="9"/>
    </row>
    <row r="19" spans="1:35" ht="16.5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O19" s="3"/>
      <c r="P19" s="106" t="s">
        <v>10</v>
      </c>
      <c r="Q19" s="104"/>
      <c r="R19" s="104"/>
      <c r="S19" s="104"/>
      <c r="T19" s="107" t="s">
        <v>52</v>
      </c>
      <c r="U19" s="107"/>
      <c r="V19" s="107"/>
      <c r="W19" s="107"/>
      <c r="Z19" s="9"/>
      <c r="AA19" s="4"/>
    </row>
    <row r="20" spans="1:35" ht="16.5"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P20" s="104"/>
      <c r="Q20" s="104"/>
      <c r="R20" s="104"/>
      <c r="S20" s="104"/>
      <c r="T20" s="107"/>
      <c r="U20" s="107"/>
      <c r="V20" s="107"/>
      <c r="W20" s="107"/>
      <c r="Z20" s="9"/>
      <c r="AA20" s="4"/>
    </row>
    <row r="21" spans="1:35" ht="17.25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108" t="s">
        <v>26</v>
      </c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9"/>
      <c r="AA21" s="9"/>
    </row>
    <row r="22" spans="1:35" s="12" customFormat="1" ht="17.25" thickBot="1">
      <c r="X22" s="13"/>
      <c r="AD22" s="109"/>
      <c r="AE22" s="109"/>
      <c r="AF22" s="109"/>
      <c r="AG22" s="109"/>
      <c r="AH22" s="14"/>
    </row>
    <row r="23" spans="1:35" ht="16.5" customHeight="1">
      <c r="A23" s="110"/>
      <c r="B23" s="111" t="s">
        <v>11</v>
      </c>
      <c r="C23" s="112" t="s">
        <v>12</v>
      </c>
      <c r="D23" s="64">
        <v>1</v>
      </c>
      <c r="E23" s="57">
        <v>2</v>
      </c>
      <c r="F23" s="57">
        <v>3</v>
      </c>
      <c r="G23" s="57">
        <v>4</v>
      </c>
      <c r="H23" s="57">
        <v>5</v>
      </c>
      <c r="I23" s="57">
        <v>6</v>
      </c>
      <c r="J23" s="74">
        <v>7</v>
      </c>
      <c r="K23" s="69">
        <v>8</v>
      </c>
      <c r="L23" s="57">
        <v>9</v>
      </c>
      <c r="M23" s="57">
        <v>10</v>
      </c>
      <c r="N23" s="57">
        <v>11</v>
      </c>
      <c r="O23" s="57">
        <v>12</v>
      </c>
      <c r="P23" s="57">
        <v>13</v>
      </c>
      <c r="Q23" s="74">
        <v>14</v>
      </c>
      <c r="R23" s="69">
        <v>15</v>
      </c>
      <c r="S23" s="69">
        <v>16</v>
      </c>
      <c r="T23" s="69">
        <v>17</v>
      </c>
      <c r="U23" s="69">
        <v>18</v>
      </c>
      <c r="V23" s="57">
        <v>19</v>
      </c>
      <c r="W23" s="57">
        <v>20</v>
      </c>
      <c r="X23" s="74">
        <v>21</v>
      </c>
      <c r="Y23" s="69">
        <v>22</v>
      </c>
      <c r="Z23" s="57">
        <v>23</v>
      </c>
      <c r="AA23" s="57">
        <v>24</v>
      </c>
      <c r="AB23" s="85">
        <v>25</v>
      </c>
      <c r="AC23" s="57">
        <v>26</v>
      </c>
      <c r="AD23" s="57">
        <v>27</v>
      </c>
      <c r="AE23" s="74">
        <v>28</v>
      </c>
      <c r="AF23" s="57">
        <v>29</v>
      </c>
      <c r="AG23" s="57">
        <v>30</v>
      </c>
      <c r="AH23" s="79">
        <v>31</v>
      </c>
      <c r="AI23" s="97" t="s">
        <v>18</v>
      </c>
    </row>
    <row r="24" spans="1:35" ht="16.5" customHeight="1" thickBot="1">
      <c r="A24" s="110"/>
      <c r="B24" s="103"/>
      <c r="C24" s="113"/>
      <c r="D24" s="65" t="s">
        <v>72</v>
      </c>
      <c r="E24" s="58" t="s">
        <v>73</v>
      </c>
      <c r="F24" s="58" t="s">
        <v>19</v>
      </c>
      <c r="G24" s="58" t="s">
        <v>20</v>
      </c>
      <c r="H24" s="58" t="s">
        <v>21</v>
      </c>
      <c r="I24" s="58" t="s">
        <v>22</v>
      </c>
      <c r="J24" s="75" t="s">
        <v>23</v>
      </c>
      <c r="K24" s="70" t="s">
        <v>24</v>
      </c>
      <c r="L24" s="58" t="s">
        <v>25</v>
      </c>
      <c r="M24" s="58" t="s">
        <v>19</v>
      </c>
      <c r="N24" s="58" t="s">
        <v>20</v>
      </c>
      <c r="O24" s="58" t="s">
        <v>21</v>
      </c>
      <c r="P24" s="58" t="s">
        <v>22</v>
      </c>
      <c r="Q24" s="75" t="s">
        <v>23</v>
      </c>
      <c r="R24" s="70" t="s">
        <v>24</v>
      </c>
      <c r="S24" s="70" t="s">
        <v>25</v>
      </c>
      <c r="T24" s="70" t="s">
        <v>19</v>
      </c>
      <c r="U24" s="70" t="s">
        <v>20</v>
      </c>
      <c r="V24" s="58" t="s">
        <v>21</v>
      </c>
      <c r="W24" s="58" t="s">
        <v>22</v>
      </c>
      <c r="X24" s="75" t="s">
        <v>23</v>
      </c>
      <c r="Y24" s="70" t="s">
        <v>24</v>
      </c>
      <c r="Z24" s="58" t="s">
        <v>25</v>
      </c>
      <c r="AA24" s="58" t="s">
        <v>19</v>
      </c>
      <c r="AB24" s="58" t="s">
        <v>20</v>
      </c>
      <c r="AC24" s="58" t="s">
        <v>21</v>
      </c>
      <c r="AD24" s="58" t="s">
        <v>22</v>
      </c>
      <c r="AE24" s="75" t="s">
        <v>23</v>
      </c>
      <c r="AF24" s="58" t="s">
        <v>21</v>
      </c>
      <c r="AG24" s="58" t="s">
        <v>22</v>
      </c>
      <c r="AH24" s="80" t="s">
        <v>68</v>
      </c>
      <c r="AI24" s="98"/>
    </row>
    <row r="25" spans="1:35" ht="16.5">
      <c r="A25" s="99"/>
      <c r="B25" s="100" t="str">
        <f>T19</f>
        <v>박미순</v>
      </c>
      <c r="C25" s="34" t="s">
        <v>13</v>
      </c>
      <c r="D25" s="66">
        <v>8</v>
      </c>
      <c r="E25" s="59">
        <v>6</v>
      </c>
      <c r="F25" s="59">
        <v>8</v>
      </c>
      <c r="G25" s="59">
        <v>8</v>
      </c>
      <c r="H25" s="59">
        <v>8</v>
      </c>
      <c r="I25" s="59">
        <v>8</v>
      </c>
      <c r="J25" s="76"/>
      <c r="K25" s="71">
        <v>8</v>
      </c>
      <c r="L25" s="59">
        <v>8</v>
      </c>
      <c r="M25" s="59">
        <v>8</v>
      </c>
      <c r="N25" s="59">
        <v>8</v>
      </c>
      <c r="O25" s="59">
        <v>8</v>
      </c>
      <c r="P25" s="59">
        <v>8</v>
      </c>
      <c r="Q25" s="76"/>
      <c r="R25" s="71">
        <v>8</v>
      </c>
      <c r="S25" s="71">
        <v>8</v>
      </c>
      <c r="T25" s="71">
        <v>8</v>
      </c>
      <c r="U25" s="71">
        <v>8</v>
      </c>
      <c r="V25" s="59">
        <v>8</v>
      </c>
      <c r="W25" s="59">
        <v>8</v>
      </c>
      <c r="X25" s="76"/>
      <c r="Y25" s="71">
        <v>8</v>
      </c>
      <c r="Z25" s="59">
        <v>8</v>
      </c>
      <c r="AA25" s="59">
        <v>8</v>
      </c>
      <c r="AB25" s="59">
        <v>8</v>
      </c>
      <c r="AC25" s="59">
        <v>8</v>
      </c>
      <c r="AD25" s="59">
        <v>8</v>
      </c>
      <c r="AE25" s="90"/>
      <c r="AF25" s="88"/>
      <c r="AG25" s="59"/>
      <c r="AH25" s="81"/>
      <c r="AI25" s="54">
        <f>SUM(D25:AH25)</f>
        <v>190</v>
      </c>
    </row>
    <row r="26" spans="1:35" ht="16.5">
      <c r="A26" s="99"/>
      <c r="B26" s="101"/>
      <c r="C26" s="35" t="s">
        <v>14</v>
      </c>
      <c r="D26" s="67"/>
      <c r="E26" s="60"/>
      <c r="F26" s="60">
        <v>2</v>
      </c>
      <c r="G26" s="60"/>
      <c r="H26" s="60">
        <v>2</v>
      </c>
      <c r="I26" s="60"/>
      <c r="J26" s="77"/>
      <c r="K26" s="72"/>
      <c r="L26" s="60">
        <v>2</v>
      </c>
      <c r="M26" s="60">
        <v>2</v>
      </c>
      <c r="N26" s="60"/>
      <c r="O26" s="60">
        <v>2</v>
      </c>
      <c r="P26" s="60"/>
      <c r="Q26" s="77"/>
      <c r="R26" s="72"/>
      <c r="S26" s="72"/>
      <c r="T26" s="72"/>
      <c r="U26" s="72"/>
      <c r="V26" s="60"/>
      <c r="W26" s="60"/>
      <c r="X26" s="77"/>
      <c r="Y26" s="72"/>
      <c r="Z26" s="60"/>
      <c r="AA26" s="60"/>
      <c r="AB26" s="60"/>
      <c r="AC26" s="60"/>
      <c r="AD26" s="60"/>
      <c r="AE26" s="91"/>
      <c r="AF26" s="89"/>
      <c r="AG26" s="60"/>
      <c r="AH26" s="82"/>
      <c r="AI26" s="55">
        <f>SUM(D26:AH26)</f>
        <v>10</v>
      </c>
    </row>
    <row r="27" spans="1:35" ht="16.5">
      <c r="A27" s="99"/>
      <c r="B27" s="101"/>
      <c r="C27" s="35" t="s">
        <v>15</v>
      </c>
      <c r="D27" s="67"/>
      <c r="E27" s="60"/>
      <c r="F27" s="60"/>
      <c r="G27" s="60"/>
      <c r="H27" s="60"/>
      <c r="I27" s="60"/>
      <c r="J27" s="77"/>
      <c r="K27" s="72"/>
      <c r="L27" s="60"/>
      <c r="M27" s="60"/>
      <c r="N27" s="60"/>
      <c r="O27" s="60"/>
      <c r="P27" s="60"/>
      <c r="Q27" s="77"/>
      <c r="R27" s="72"/>
      <c r="S27" s="72"/>
      <c r="T27" s="72"/>
      <c r="U27" s="72"/>
      <c r="V27" s="60"/>
      <c r="W27" s="60"/>
      <c r="X27" s="77">
        <v>8</v>
      </c>
      <c r="Y27" s="72"/>
      <c r="Z27" s="60"/>
      <c r="AA27" s="60"/>
      <c r="AB27" s="60"/>
      <c r="AC27" s="60"/>
      <c r="AD27" s="60"/>
      <c r="AE27" s="91"/>
      <c r="AF27" s="89"/>
      <c r="AG27" s="60"/>
      <c r="AH27" s="82"/>
      <c r="AI27" s="55">
        <f>SUM(D27:AH27)</f>
        <v>8</v>
      </c>
    </row>
    <row r="28" spans="1:35" ht="16.5">
      <c r="A28" s="99"/>
      <c r="B28" s="102"/>
      <c r="C28" s="15" t="s">
        <v>27</v>
      </c>
      <c r="D28" s="67"/>
      <c r="E28" s="60"/>
      <c r="F28" s="60"/>
      <c r="G28" s="60"/>
      <c r="H28" s="60"/>
      <c r="I28" s="60"/>
      <c r="J28" s="77"/>
      <c r="K28" s="72"/>
      <c r="L28" s="60"/>
      <c r="M28" s="60"/>
      <c r="N28" s="60"/>
      <c r="O28" s="60"/>
      <c r="P28" s="60"/>
      <c r="Q28" s="77"/>
      <c r="R28" s="72"/>
      <c r="S28" s="72"/>
      <c r="T28" s="72"/>
      <c r="U28" s="72"/>
      <c r="V28" s="60"/>
      <c r="W28" s="60"/>
      <c r="X28" s="77"/>
      <c r="Y28" s="72"/>
      <c r="Z28" s="60"/>
      <c r="AA28" s="60"/>
      <c r="AB28" s="60"/>
      <c r="AC28" s="60"/>
      <c r="AD28" s="60"/>
      <c r="AE28" s="91"/>
      <c r="AF28" s="89"/>
      <c r="AG28" s="60"/>
      <c r="AH28" s="82"/>
      <c r="AI28" s="55">
        <f>SUM(D28:AH28)</f>
        <v>0</v>
      </c>
    </row>
    <row r="29" spans="1:35" ht="17.25" thickBot="1">
      <c r="A29" s="99"/>
      <c r="B29" s="103"/>
      <c r="C29" s="46" t="s">
        <v>34</v>
      </c>
      <c r="D29" s="68"/>
      <c r="E29" s="61"/>
      <c r="F29" s="61"/>
      <c r="G29" s="61" t="s">
        <v>75</v>
      </c>
      <c r="H29" s="61"/>
      <c r="I29" s="61"/>
      <c r="J29" s="78"/>
      <c r="K29" s="73"/>
      <c r="L29" s="61"/>
      <c r="M29" s="61"/>
      <c r="N29" s="61"/>
      <c r="O29" s="61"/>
      <c r="P29" s="61"/>
      <c r="Q29" s="78"/>
      <c r="R29" s="73"/>
      <c r="S29" s="73"/>
      <c r="T29" s="73"/>
      <c r="U29" s="73"/>
      <c r="V29" s="61"/>
      <c r="W29" s="61"/>
      <c r="X29" s="78"/>
      <c r="Y29" s="73"/>
      <c r="Z29" s="61"/>
      <c r="AA29" s="61"/>
      <c r="AB29" s="86"/>
      <c r="AC29" s="61"/>
      <c r="AD29" s="61"/>
      <c r="AE29" s="92"/>
      <c r="AF29" s="62"/>
      <c r="AG29" s="63"/>
      <c r="AH29" s="83"/>
      <c r="AI29" s="56">
        <f>SUM(D29:AH29)</f>
        <v>0</v>
      </c>
    </row>
    <row r="30" spans="1:35" ht="18" customHeight="1"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8"/>
      <c r="AE30" s="18"/>
      <c r="AF30" s="18"/>
      <c r="AG30" s="18"/>
      <c r="AH30" s="18"/>
    </row>
  </sheetData>
  <mergeCells count="81">
    <mergeCell ref="B1:G2"/>
    <mergeCell ref="B3:M3"/>
    <mergeCell ref="N3:Y3"/>
    <mergeCell ref="B4:G4"/>
    <mergeCell ref="H4:J4"/>
    <mergeCell ref="K4:M4"/>
    <mergeCell ref="N4:S4"/>
    <mergeCell ref="T4:Y4"/>
    <mergeCell ref="B5:G5"/>
    <mergeCell ref="H5:J5"/>
    <mergeCell ref="K5:M5"/>
    <mergeCell ref="N5:S5"/>
    <mergeCell ref="T5:Y5"/>
    <mergeCell ref="AI6:AJ6"/>
    <mergeCell ref="B7:G7"/>
    <mergeCell ref="H7:J7"/>
    <mergeCell ref="K7:M7"/>
    <mergeCell ref="N7:S7"/>
    <mergeCell ref="T7:Y7"/>
    <mergeCell ref="AI7:AJ7"/>
    <mergeCell ref="B6:G6"/>
    <mergeCell ref="H6:J6"/>
    <mergeCell ref="K6:M6"/>
    <mergeCell ref="N6:S6"/>
    <mergeCell ref="T6:Y6"/>
    <mergeCell ref="AI9:AJ9"/>
    <mergeCell ref="B8:G8"/>
    <mergeCell ref="H8:J8"/>
    <mergeCell ref="K8:M8"/>
    <mergeCell ref="N8:S8"/>
    <mergeCell ref="T8:Y8"/>
    <mergeCell ref="AI8:AJ8"/>
    <mergeCell ref="B9:G9"/>
    <mergeCell ref="H9:J9"/>
    <mergeCell ref="K9:M9"/>
    <mergeCell ref="N9:S9"/>
    <mergeCell ref="T9:Y9"/>
    <mergeCell ref="B10:G10"/>
    <mergeCell ref="H10:M10"/>
    <mergeCell ref="N10:S10"/>
    <mergeCell ref="T10:Y10"/>
    <mergeCell ref="B11:G11"/>
    <mergeCell ref="H11:M11"/>
    <mergeCell ref="N11:S11"/>
    <mergeCell ref="T11:Y11"/>
    <mergeCell ref="B12:G12"/>
    <mergeCell ref="H12:M12"/>
    <mergeCell ref="N12:S12"/>
    <mergeCell ref="T12:Y12"/>
    <mergeCell ref="B13:G13"/>
    <mergeCell ref="H13:M13"/>
    <mergeCell ref="N13:S13"/>
    <mergeCell ref="T13:Y13"/>
    <mergeCell ref="B14:G14"/>
    <mergeCell ref="H14:M14"/>
    <mergeCell ref="N14:S14"/>
    <mergeCell ref="T14:Y14"/>
    <mergeCell ref="B15:G15"/>
    <mergeCell ref="H15:M15"/>
    <mergeCell ref="N15:S15"/>
    <mergeCell ref="T15:Y15"/>
    <mergeCell ref="B16:G16"/>
    <mergeCell ref="H16:M16"/>
    <mergeCell ref="N16:S16"/>
    <mergeCell ref="T16:Y16"/>
    <mergeCell ref="B17:G17"/>
    <mergeCell ref="H17:M17"/>
    <mergeCell ref="N17:S17"/>
    <mergeCell ref="T17:Y17"/>
    <mergeCell ref="AI23:AI24"/>
    <mergeCell ref="AD17:AE17"/>
    <mergeCell ref="N18:Y18"/>
    <mergeCell ref="P19:S20"/>
    <mergeCell ref="T19:W20"/>
    <mergeCell ref="N21:Y21"/>
    <mergeCell ref="A25:A29"/>
    <mergeCell ref="B25:B29"/>
    <mergeCell ref="AD22:AG22"/>
    <mergeCell ref="A23:A24"/>
    <mergeCell ref="B23:B24"/>
    <mergeCell ref="C23:C24"/>
  </mergeCells>
  <phoneticPr fontId="2" type="noConversion"/>
  <pageMargins left="0.7" right="0.7" top="0.75" bottom="0.75" header="0.3" footer="0.3"/>
  <pageSetup paperSize="9" scale="73" orientation="landscape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J30"/>
  <sheetViews>
    <sheetView showGridLines="0" showZeros="0" zoomScale="90" zoomScaleNormal="90" workbookViewId="0">
      <selection activeCell="M35" sqref="M35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9" customWidth="1"/>
    <col min="32" max="34" width="4.625" style="9" hidden="1" customWidth="1"/>
    <col min="35" max="35" width="6" style="1" customWidth="1"/>
    <col min="36" max="36" width="4.25" style="1" customWidth="1"/>
    <col min="37" max="38" width="3.75" style="1" customWidth="1"/>
    <col min="39" max="62" width="3.25" style="1" customWidth="1"/>
    <col min="63" max="65" width="2.125" style="1" customWidth="1"/>
    <col min="66" max="16384" width="3.625" style="1"/>
  </cols>
  <sheetData>
    <row r="1" spans="2:36" ht="16.5" customHeight="1">
      <c r="B1" s="149" t="s">
        <v>45</v>
      </c>
      <c r="C1" s="149"/>
      <c r="D1" s="149"/>
      <c r="E1" s="149"/>
      <c r="F1" s="149"/>
      <c r="G1" s="149"/>
    </row>
    <row r="2" spans="2:36" ht="17.25" customHeight="1" thickBot="1">
      <c r="B2" s="150"/>
      <c r="C2" s="150"/>
      <c r="D2" s="150"/>
      <c r="E2" s="150"/>
      <c r="F2" s="150"/>
      <c r="G2" s="150"/>
    </row>
    <row r="3" spans="2:36" ht="16.5">
      <c r="B3" s="151" t="s">
        <v>0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 t="s">
        <v>1</v>
      </c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3"/>
    </row>
    <row r="4" spans="2:36" ht="16.5" customHeight="1">
      <c r="B4" s="135" t="s">
        <v>2</v>
      </c>
      <c r="C4" s="136"/>
      <c r="D4" s="136"/>
      <c r="E4" s="136"/>
      <c r="F4" s="136"/>
      <c r="G4" s="137"/>
      <c r="H4" s="148">
        <f>AI25</f>
        <v>176</v>
      </c>
      <c r="I4" s="148"/>
      <c r="J4" s="148"/>
      <c r="K4" s="117">
        <f>H4*10320</f>
        <v>1816320</v>
      </c>
      <c r="L4" s="117"/>
      <c r="M4" s="117"/>
      <c r="N4" s="137" t="s">
        <v>29</v>
      </c>
      <c r="O4" s="142"/>
      <c r="P4" s="142"/>
      <c r="Q4" s="142"/>
      <c r="R4" s="142"/>
      <c r="S4" s="143"/>
      <c r="T4" s="126">
        <v>99750</v>
      </c>
      <c r="U4" s="127"/>
      <c r="V4" s="127"/>
      <c r="W4" s="127"/>
      <c r="X4" s="127"/>
      <c r="Y4" s="144"/>
    </row>
    <row r="5" spans="2:36" ht="16.5" customHeight="1">
      <c r="B5" s="141" t="s">
        <v>3</v>
      </c>
      <c r="C5" s="142"/>
      <c r="D5" s="142"/>
      <c r="E5" s="142"/>
      <c r="F5" s="142"/>
      <c r="G5" s="143"/>
      <c r="H5" s="148">
        <f>AI26</f>
        <v>7.5</v>
      </c>
      <c r="I5" s="148"/>
      <c r="J5" s="148"/>
      <c r="K5" s="117">
        <f>H5*10320*1.5</f>
        <v>116100</v>
      </c>
      <c r="L5" s="117"/>
      <c r="M5" s="117"/>
      <c r="N5" s="137" t="s">
        <v>30</v>
      </c>
      <c r="O5" s="142"/>
      <c r="P5" s="142"/>
      <c r="Q5" s="142"/>
      <c r="R5" s="142"/>
      <c r="S5" s="143"/>
      <c r="T5" s="126">
        <f>H17*3.595%</f>
        <v>88483.735000000001</v>
      </c>
      <c r="U5" s="127"/>
      <c r="V5" s="127"/>
      <c r="W5" s="127"/>
      <c r="X5" s="127"/>
      <c r="Y5" s="144"/>
    </row>
    <row r="6" spans="2:36" ht="16.5" customHeight="1">
      <c r="B6" s="141" t="s">
        <v>4</v>
      </c>
      <c r="C6" s="142"/>
      <c r="D6" s="142"/>
      <c r="E6" s="142"/>
      <c r="F6" s="142"/>
      <c r="G6" s="143"/>
      <c r="H6" s="148"/>
      <c r="I6" s="148"/>
      <c r="J6" s="148"/>
      <c r="K6" s="117"/>
      <c r="L6" s="117"/>
      <c r="M6" s="117"/>
      <c r="N6" s="137" t="s">
        <v>17</v>
      </c>
      <c r="O6" s="142"/>
      <c r="P6" s="142"/>
      <c r="Q6" s="142"/>
      <c r="R6" s="142"/>
      <c r="S6" s="143"/>
      <c r="T6" s="126">
        <f>T5*13.14%</f>
        <v>11626.762779000002</v>
      </c>
      <c r="U6" s="127"/>
      <c r="V6" s="127"/>
      <c r="W6" s="127"/>
      <c r="X6" s="127"/>
      <c r="Y6" s="144"/>
      <c r="AJ6" s="47"/>
    </row>
    <row r="7" spans="2:36" ht="16.5" customHeight="1">
      <c r="B7" s="141" t="s">
        <v>5</v>
      </c>
      <c r="C7" s="142"/>
      <c r="D7" s="142"/>
      <c r="E7" s="142"/>
      <c r="F7" s="142"/>
      <c r="G7" s="143"/>
      <c r="H7" s="148">
        <f>AI27</f>
        <v>24</v>
      </c>
      <c r="I7" s="148"/>
      <c r="J7" s="148"/>
      <c r="K7" s="117">
        <f>H7*10320*1.5</f>
        <v>371520</v>
      </c>
      <c r="L7" s="117"/>
      <c r="M7" s="117"/>
      <c r="N7" s="137" t="s">
        <v>31</v>
      </c>
      <c r="O7" s="142"/>
      <c r="P7" s="142"/>
      <c r="Q7" s="142"/>
      <c r="R7" s="142"/>
      <c r="S7" s="143"/>
      <c r="T7" s="126">
        <f>H17*0.9%</f>
        <v>22151.700000000004</v>
      </c>
      <c r="U7" s="127"/>
      <c r="V7" s="127"/>
      <c r="W7" s="127"/>
      <c r="X7" s="127"/>
      <c r="Y7" s="144"/>
      <c r="AJ7" s="47"/>
    </row>
    <row r="8" spans="2:36" ht="16.5" customHeight="1">
      <c r="B8" s="141" t="s">
        <v>6</v>
      </c>
      <c r="C8" s="142"/>
      <c r="D8" s="142"/>
      <c r="E8" s="142"/>
      <c r="F8" s="142"/>
      <c r="G8" s="143"/>
      <c r="H8" s="145"/>
      <c r="I8" s="146"/>
      <c r="J8" s="147"/>
      <c r="K8" s="126">
        <f>H8*9860*2</f>
        <v>0</v>
      </c>
      <c r="L8" s="127"/>
      <c r="M8" s="128"/>
      <c r="N8" s="137" t="s">
        <v>32</v>
      </c>
      <c r="O8" s="142"/>
      <c r="P8" s="142"/>
      <c r="Q8" s="142"/>
      <c r="R8" s="142"/>
      <c r="S8" s="143"/>
      <c r="T8" s="126">
        <v>34300</v>
      </c>
      <c r="U8" s="127"/>
      <c r="V8" s="127"/>
      <c r="W8" s="127"/>
      <c r="X8" s="127"/>
      <c r="Y8" s="144"/>
      <c r="AJ8" s="47"/>
    </row>
    <row r="9" spans="2:36" ht="16.5" customHeight="1">
      <c r="B9" s="141" t="s">
        <v>28</v>
      </c>
      <c r="C9" s="142"/>
      <c r="D9" s="142"/>
      <c r="E9" s="142"/>
      <c r="F9" s="142"/>
      <c r="G9" s="143"/>
      <c r="H9" s="145">
        <f>AI29</f>
        <v>0</v>
      </c>
      <c r="I9" s="146"/>
      <c r="J9" s="147"/>
      <c r="K9" s="117"/>
      <c r="L9" s="117"/>
      <c r="M9" s="117"/>
      <c r="N9" s="136" t="s">
        <v>33</v>
      </c>
      <c r="O9" s="136"/>
      <c r="P9" s="136"/>
      <c r="Q9" s="136"/>
      <c r="R9" s="136"/>
      <c r="S9" s="136"/>
      <c r="T9" s="126">
        <f>T8*10%</f>
        <v>3430</v>
      </c>
      <c r="U9" s="127"/>
      <c r="V9" s="127"/>
      <c r="W9" s="127"/>
      <c r="X9" s="127"/>
      <c r="Y9" s="144"/>
      <c r="AJ9" s="9"/>
    </row>
    <row r="10" spans="2:36" ht="16.5" customHeight="1">
      <c r="B10" s="141" t="s">
        <v>36</v>
      </c>
      <c r="C10" s="142"/>
      <c r="D10" s="142"/>
      <c r="E10" s="142"/>
      <c r="F10" s="142"/>
      <c r="G10" s="143"/>
      <c r="H10" s="126">
        <v>151360</v>
      </c>
      <c r="I10" s="127"/>
      <c r="J10" s="127"/>
      <c r="K10" s="127"/>
      <c r="L10" s="127"/>
      <c r="M10" s="128"/>
      <c r="N10" s="136" t="s">
        <v>63</v>
      </c>
      <c r="O10" s="136"/>
      <c r="P10" s="136"/>
      <c r="Q10" s="136"/>
      <c r="R10" s="136"/>
      <c r="S10" s="136"/>
      <c r="T10" s="117">
        <v>2136288</v>
      </c>
      <c r="U10" s="117"/>
      <c r="V10" s="117"/>
      <c r="W10" s="117"/>
      <c r="X10" s="117"/>
      <c r="Y10" s="118"/>
      <c r="Z10" s="2"/>
      <c r="AA10" s="2"/>
    </row>
    <row r="11" spans="2:36" ht="16.5" customHeight="1">
      <c r="B11" s="141" t="s">
        <v>59</v>
      </c>
      <c r="C11" s="142"/>
      <c r="D11" s="142"/>
      <c r="E11" s="142"/>
      <c r="F11" s="142"/>
      <c r="G11" s="143"/>
      <c r="H11" s="126">
        <v>6000</v>
      </c>
      <c r="I11" s="127"/>
      <c r="J11" s="127"/>
      <c r="K11" s="127"/>
      <c r="L11" s="127"/>
      <c r="M11" s="128"/>
      <c r="N11" s="136" t="s">
        <v>77</v>
      </c>
      <c r="O11" s="136"/>
      <c r="P11" s="136"/>
      <c r="Q11" s="136"/>
      <c r="R11" s="136"/>
      <c r="S11" s="136"/>
      <c r="T11" s="126">
        <v>65270</v>
      </c>
      <c r="U11" s="127"/>
      <c r="V11" s="127"/>
      <c r="W11" s="127"/>
      <c r="X11" s="127"/>
      <c r="Y11" s="144"/>
      <c r="Z11" s="2"/>
      <c r="AA11" s="2"/>
    </row>
    <row r="12" spans="2:36" ht="16.5">
      <c r="B12" s="135"/>
      <c r="C12" s="136"/>
      <c r="D12" s="136"/>
      <c r="E12" s="136"/>
      <c r="F12" s="136"/>
      <c r="G12" s="137"/>
      <c r="H12" s="117"/>
      <c r="I12" s="117"/>
      <c r="J12" s="117"/>
      <c r="K12" s="117"/>
      <c r="L12" s="117"/>
      <c r="M12" s="117"/>
      <c r="N12" s="138"/>
      <c r="O12" s="138"/>
      <c r="P12" s="138"/>
      <c r="Q12" s="138"/>
      <c r="R12" s="138"/>
      <c r="S12" s="138"/>
      <c r="T12" s="139"/>
      <c r="U12" s="139"/>
      <c r="V12" s="139"/>
      <c r="W12" s="139"/>
      <c r="X12" s="139"/>
      <c r="Y12" s="140"/>
      <c r="Z12" s="2"/>
      <c r="AA12" s="2"/>
    </row>
    <row r="13" spans="2:36" ht="17.25" customHeight="1">
      <c r="B13" s="114"/>
      <c r="C13" s="115"/>
      <c r="D13" s="115"/>
      <c r="E13" s="115"/>
      <c r="F13" s="115"/>
      <c r="G13" s="116"/>
      <c r="H13" s="126"/>
      <c r="I13" s="127"/>
      <c r="J13" s="127"/>
      <c r="K13" s="127"/>
      <c r="L13" s="127"/>
      <c r="M13" s="127"/>
      <c r="N13" s="115"/>
      <c r="O13" s="115"/>
      <c r="P13" s="115"/>
      <c r="Q13" s="115"/>
      <c r="R13" s="115"/>
      <c r="S13" s="115"/>
      <c r="T13" s="117"/>
      <c r="U13" s="117"/>
      <c r="V13" s="117"/>
      <c r="W13" s="117"/>
      <c r="X13" s="117"/>
      <c r="Y13" s="118"/>
      <c r="Z13" s="2"/>
      <c r="AA13" s="2"/>
    </row>
    <row r="14" spans="2:36" ht="16.5">
      <c r="B14" s="124"/>
      <c r="C14" s="125"/>
      <c r="D14" s="125"/>
      <c r="E14" s="125"/>
      <c r="F14" s="125"/>
      <c r="G14" s="125"/>
      <c r="H14" s="126"/>
      <c r="I14" s="127"/>
      <c r="J14" s="127"/>
      <c r="K14" s="127"/>
      <c r="L14" s="127"/>
      <c r="M14" s="128"/>
      <c r="N14" s="129"/>
      <c r="O14" s="130"/>
      <c r="P14" s="130"/>
      <c r="Q14" s="130"/>
      <c r="R14" s="130"/>
      <c r="S14" s="131"/>
      <c r="T14" s="132"/>
      <c r="U14" s="133"/>
      <c r="V14" s="133"/>
      <c r="W14" s="133"/>
      <c r="X14" s="133"/>
      <c r="Y14" s="134"/>
      <c r="Z14" s="2"/>
      <c r="AA14" s="2"/>
    </row>
    <row r="15" spans="2:36" ht="16.5">
      <c r="B15" s="114"/>
      <c r="C15" s="115"/>
      <c r="D15" s="115"/>
      <c r="E15" s="115"/>
      <c r="F15" s="115"/>
      <c r="G15" s="116"/>
      <c r="H15" s="117"/>
      <c r="I15" s="117"/>
      <c r="J15" s="117"/>
      <c r="K15" s="117"/>
      <c r="L15" s="117"/>
      <c r="M15" s="117"/>
      <c r="N15" s="115"/>
      <c r="O15" s="115"/>
      <c r="P15" s="115"/>
      <c r="Q15" s="115"/>
      <c r="R15" s="115"/>
      <c r="S15" s="115"/>
      <c r="T15" s="117"/>
      <c r="U15" s="117"/>
      <c r="V15" s="117"/>
      <c r="W15" s="117"/>
      <c r="X15" s="117"/>
      <c r="Y15" s="118"/>
      <c r="Z15" s="2"/>
      <c r="AA15" s="2"/>
    </row>
    <row r="16" spans="2:36" ht="16.5">
      <c r="B16" s="114"/>
      <c r="C16" s="115"/>
      <c r="D16" s="115"/>
      <c r="E16" s="115"/>
      <c r="F16" s="115"/>
      <c r="G16" s="116"/>
      <c r="H16" s="117"/>
      <c r="I16" s="117"/>
      <c r="J16" s="117"/>
      <c r="K16" s="117"/>
      <c r="L16" s="117"/>
      <c r="M16" s="117"/>
      <c r="N16" s="115" t="s">
        <v>7</v>
      </c>
      <c r="O16" s="115"/>
      <c r="P16" s="115"/>
      <c r="Q16" s="115"/>
      <c r="R16" s="115"/>
      <c r="S16" s="115"/>
      <c r="T16" s="117">
        <f>SUM(T4:Y12)</f>
        <v>2461300.1977789998</v>
      </c>
      <c r="U16" s="117"/>
      <c r="V16" s="117"/>
      <c r="W16" s="117"/>
      <c r="X16" s="117"/>
      <c r="Y16" s="118"/>
      <c r="Z16" s="9"/>
      <c r="AA16" s="9"/>
    </row>
    <row r="17" spans="1:35" ht="17.25" thickBot="1">
      <c r="B17" s="119" t="s">
        <v>8</v>
      </c>
      <c r="C17" s="120"/>
      <c r="D17" s="120"/>
      <c r="E17" s="120"/>
      <c r="F17" s="120"/>
      <c r="G17" s="121"/>
      <c r="H17" s="122">
        <f>SUM(K4,K5,K6,K7,K8,K9,H10,H11,H12,H13,H14,H15,H16)</f>
        <v>2461300</v>
      </c>
      <c r="I17" s="122"/>
      <c r="J17" s="122"/>
      <c r="K17" s="122"/>
      <c r="L17" s="122"/>
      <c r="M17" s="122"/>
      <c r="N17" s="120" t="s">
        <v>9</v>
      </c>
      <c r="O17" s="120"/>
      <c r="P17" s="120"/>
      <c r="Q17" s="120"/>
      <c r="R17" s="120"/>
      <c r="S17" s="120"/>
      <c r="T17" s="122">
        <f>H17-T16</f>
        <v>-0.19777899980545044</v>
      </c>
      <c r="U17" s="122"/>
      <c r="V17" s="122"/>
      <c r="W17" s="122"/>
      <c r="X17" s="122"/>
      <c r="Y17" s="123"/>
      <c r="Z17" s="9"/>
      <c r="AA17" s="9"/>
      <c r="AD17" s="104"/>
      <c r="AE17" s="104"/>
    </row>
    <row r="18" spans="1:35" ht="21.75" customHeight="1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9"/>
      <c r="AA18" s="9"/>
    </row>
    <row r="19" spans="1:35" ht="16.5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O19" s="3"/>
      <c r="P19" s="106" t="s">
        <v>10</v>
      </c>
      <c r="Q19" s="104"/>
      <c r="R19" s="104"/>
      <c r="S19" s="104"/>
      <c r="T19" s="107" t="s">
        <v>55</v>
      </c>
      <c r="U19" s="107"/>
      <c r="V19" s="107"/>
      <c r="W19" s="107"/>
      <c r="Z19" s="9"/>
      <c r="AA19" s="4"/>
    </row>
    <row r="20" spans="1:35" ht="16.5"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P20" s="104"/>
      <c r="Q20" s="104"/>
      <c r="R20" s="104"/>
      <c r="S20" s="104"/>
      <c r="T20" s="107"/>
      <c r="U20" s="107"/>
      <c r="V20" s="107"/>
      <c r="W20" s="107"/>
      <c r="Z20" s="9"/>
      <c r="AA20" s="4"/>
    </row>
    <row r="21" spans="1:35" ht="17.25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108" t="s">
        <v>26</v>
      </c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9"/>
      <c r="AA21" s="9"/>
    </row>
    <row r="22" spans="1:35" s="12" customFormat="1" ht="17.25" thickBot="1">
      <c r="X22" s="13"/>
      <c r="AD22" s="109"/>
      <c r="AE22" s="109"/>
      <c r="AF22" s="109"/>
      <c r="AG22" s="109"/>
      <c r="AH22" s="14"/>
    </row>
    <row r="23" spans="1:35" ht="16.5" customHeight="1">
      <c r="A23" s="110"/>
      <c r="B23" s="111" t="s">
        <v>11</v>
      </c>
      <c r="C23" s="112" t="s">
        <v>12</v>
      </c>
      <c r="D23" s="64">
        <v>1</v>
      </c>
      <c r="E23" s="57">
        <v>2</v>
      </c>
      <c r="F23" s="57">
        <v>3</v>
      </c>
      <c r="G23" s="57">
        <v>4</v>
      </c>
      <c r="H23" s="57">
        <v>5</v>
      </c>
      <c r="I23" s="57">
        <v>6</v>
      </c>
      <c r="J23" s="74">
        <v>7</v>
      </c>
      <c r="K23" s="69">
        <v>8</v>
      </c>
      <c r="L23" s="57">
        <v>9</v>
      </c>
      <c r="M23" s="57">
        <v>10</v>
      </c>
      <c r="N23" s="57">
        <v>11</v>
      </c>
      <c r="O23" s="57">
        <v>12</v>
      </c>
      <c r="P23" s="57">
        <v>13</v>
      </c>
      <c r="Q23" s="74">
        <v>14</v>
      </c>
      <c r="R23" s="69">
        <v>15</v>
      </c>
      <c r="S23" s="69">
        <v>16</v>
      </c>
      <c r="T23" s="69">
        <v>17</v>
      </c>
      <c r="U23" s="69">
        <v>18</v>
      </c>
      <c r="V23" s="57">
        <v>19</v>
      </c>
      <c r="W23" s="57">
        <v>20</v>
      </c>
      <c r="X23" s="74">
        <v>21</v>
      </c>
      <c r="Y23" s="69">
        <v>22</v>
      </c>
      <c r="Z23" s="57">
        <v>23</v>
      </c>
      <c r="AA23" s="57">
        <v>24</v>
      </c>
      <c r="AB23" s="85">
        <v>25</v>
      </c>
      <c r="AC23" s="57">
        <v>26</v>
      </c>
      <c r="AD23" s="57">
        <v>27</v>
      </c>
      <c r="AE23" s="74">
        <v>28</v>
      </c>
      <c r="AF23" s="57">
        <v>29</v>
      </c>
      <c r="AG23" s="57">
        <v>30</v>
      </c>
      <c r="AH23" s="79">
        <v>31</v>
      </c>
      <c r="AI23" s="97" t="s">
        <v>18</v>
      </c>
    </row>
    <row r="24" spans="1:35" ht="16.5" customHeight="1" thickBot="1">
      <c r="A24" s="110"/>
      <c r="B24" s="103"/>
      <c r="C24" s="113"/>
      <c r="D24" s="65" t="s">
        <v>72</v>
      </c>
      <c r="E24" s="58" t="s">
        <v>73</v>
      </c>
      <c r="F24" s="58" t="s">
        <v>19</v>
      </c>
      <c r="G24" s="58" t="s">
        <v>20</v>
      </c>
      <c r="H24" s="58" t="s">
        <v>21</v>
      </c>
      <c r="I24" s="58" t="s">
        <v>22</v>
      </c>
      <c r="J24" s="75" t="s">
        <v>23</v>
      </c>
      <c r="K24" s="70" t="s">
        <v>24</v>
      </c>
      <c r="L24" s="58" t="s">
        <v>25</v>
      </c>
      <c r="M24" s="58" t="s">
        <v>19</v>
      </c>
      <c r="N24" s="58" t="s">
        <v>20</v>
      </c>
      <c r="O24" s="58" t="s">
        <v>21</v>
      </c>
      <c r="P24" s="58" t="s">
        <v>22</v>
      </c>
      <c r="Q24" s="75" t="s">
        <v>23</v>
      </c>
      <c r="R24" s="70" t="s">
        <v>24</v>
      </c>
      <c r="S24" s="70" t="s">
        <v>25</v>
      </c>
      <c r="T24" s="70" t="s">
        <v>19</v>
      </c>
      <c r="U24" s="70" t="s">
        <v>20</v>
      </c>
      <c r="V24" s="58" t="s">
        <v>21</v>
      </c>
      <c r="W24" s="58" t="s">
        <v>22</v>
      </c>
      <c r="X24" s="75" t="s">
        <v>23</v>
      </c>
      <c r="Y24" s="70" t="s">
        <v>24</v>
      </c>
      <c r="Z24" s="58" t="s">
        <v>25</v>
      </c>
      <c r="AA24" s="58" t="s">
        <v>19</v>
      </c>
      <c r="AB24" s="58" t="s">
        <v>20</v>
      </c>
      <c r="AC24" s="58" t="s">
        <v>21</v>
      </c>
      <c r="AD24" s="58" t="s">
        <v>22</v>
      </c>
      <c r="AE24" s="75" t="s">
        <v>23</v>
      </c>
      <c r="AF24" s="58" t="s">
        <v>21</v>
      </c>
      <c r="AG24" s="58" t="s">
        <v>22</v>
      </c>
      <c r="AH24" s="80" t="s">
        <v>48</v>
      </c>
      <c r="AI24" s="98"/>
    </row>
    <row r="25" spans="1:35" ht="16.5">
      <c r="A25" s="99"/>
      <c r="B25" s="100" t="str">
        <f>T19</f>
        <v>이진희</v>
      </c>
      <c r="C25" s="34" t="s">
        <v>13</v>
      </c>
      <c r="D25" s="66">
        <v>8</v>
      </c>
      <c r="E25" s="59">
        <v>8</v>
      </c>
      <c r="F25" s="59">
        <v>8</v>
      </c>
      <c r="G25" s="59">
        <v>8</v>
      </c>
      <c r="H25" s="59">
        <v>8</v>
      </c>
      <c r="I25" s="59">
        <v>8</v>
      </c>
      <c r="J25" s="76"/>
      <c r="K25" s="71">
        <v>8</v>
      </c>
      <c r="L25" s="59">
        <v>8</v>
      </c>
      <c r="M25" s="59"/>
      <c r="N25" s="59">
        <v>8</v>
      </c>
      <c r="O25" s="59">
        <v>8</v>
      </c>
      <c r="P25" s="59">
        <v>8</v>
      </c>
      <c r="Q25" s="76"/>
      <c r="R25" s="71"/>
      <c r="S25" s="71">
        <v>8</v>
      </c>
      <c r="T25" s="71">
        <v>8</v>
      </c>
      <c r="U25" s="71">
        <v>8</v>
      </c>
      <c r="V25" s="59">
        <v>8</v>
      </c>
      <c r="W25" s="59">
        <v>8</v>
      </c>
      <c r="X25" s="76"/>
      <c r="Y25" s="71">
        <v>8</v>
      </c>
      <c r="Z25" s="59">
        <v>8</v>
      </c>
      <c r="AA25" s="59">
        <v>8</v>
      </c>
      <c r="AB25" s="59">
        <v>8</v>
      </c>
      <c r="AC25" s="59">
        <v>8</v>
      </c>
      <c r="AD25" s="59">
        <v>8</v>
      </c>
      <c r="AE25" s="90"/>
      <c r="AF25" s="88"/>
      <c r="AG25" s="59"/>
      <c r="AH25" s="81"/>
      <c r="AI25" s="51">
        <f>SUM(D25:AH25)</f>
        <v>176</v>
      </c>
    </row>
    <row r="26" spans="1:35" ht="16.5">
      <c r="A26" s="99"/>
      <c r="B26" s="101"/>
      <c r="C26" s="35" t="s">
        <v>14</v>
      </c>
      <c r="D26" s="67"/>
      <c r="E26" s="60">
        <v>2</v>
      </c>
      <c r="F26" s="60"/>
      <c r="G26" s="60"/>
      <c r="H26" s="60"/>
      <c r="I26" s="60"/>
      <c r="J26" s="77"/>
      <c r="K26" s="72"/>
      <c r="L26" s="60"/>
      <c r="M26" s="60"/>
      <c r="N26" s="60">
        <v>0.5</v>
      </c>
      <c r="O26" s="60">
        <v>2</v>
      </c>
      <c r="P26" s="60"/>
      <c r="Q26" s="77"/>
      <c r="R26" s="72"/>
      <c r="S26" s="72"/>
      <c r="T26" s="72"/>
      <c r="U26" s="72"/>
      <c r="V26" s="60">
        <v>1</v>
      </c>
      <c r="W26" s="60"/>
      <c r="X26" s="77"/>
      <c r="Y26" s="72"/>
      <c r="Z26" s="60"/>
      <c r="AA26" s="60"/>
      <c r="AB26" s="60"/>
      <c r="AC26" s="60"/>
      <c r="AD26" s="60">
        <v>2</v>
      </c>
      <c r="AE26" s="91"/>
      <c r="AF26" s="89"/>
      <c r="AG26" s="60"/>
      <c r="AH26" s="82"/>
      <c r="AI26" s="52">
        <f>SUM(D26:AH26)</f>
        <v>7.5</v>
      </c>
    </row>
    <row r="27" spans="1:35" ht="16.5">
      <c r="A27" s="99"/>
      <c r="B27" s="101"/>
      <c r="C27" s="35" t="s">
        <v>15</v>
      </c>
      <c r="D27" s="67"/>
      <c r="E27" s="60"/>
      <c r="F27" s="60"/>
      <c r="G27" s="60"/>
      <c r="H27" s="60"/>
      <c r="I27" s="60"/>
      <c r="J27" s="77"/>
      <c r="K27" s="72"/>
      <c r="L27" s="60"/>
      <c r="M27" s="60"/>
      <c r="N27" s="60"/>
      <c r="O27" s="60"/>
      <c r="P27" s="60"/>
      <c r="Q27" s="77">
        <v>8</v>
      </c>
      <c r="R27" s="72"/>
      <c r="S27" s="72"/>
      <c r="T27" s="72"/>
      <c r="U27" s="72"/>
      <c r="V27" s="60"/>
      <c r="W27" s="60"/>
      <c r="X27" s="77">
        <v>8</v>
      </c>
      <c r="Y27" s="72"/>
      <c r="Z27" s="60"/>
      <c r="AA27" s="60"/>
      <c r="AB27" s="60"/>
      <c r="AC27" s="60"/>
      <c r="AD27" s="60"/>
      <c r="AE27" s="91">
        <v>8</v>
      </c>
      <c r="AF27" s="89"/>
      <c r="AG27" s="60"/>
      <c r="AH27" s="82"/>
      <c r="AI27" s="52">
        <f>SUM(D27:AH27)</f>
        <v>24</v>
      </c>
    </row>
    <row r="28" spans="1:35" ht="16.5">
      <c r="A28" s="99"/>
      <c r="B28" s="102"/>
      <c r="C28" s="15" t="s">
        <v>27</v>
      </c>
      <c r="D28" s="67"/>
      <c r="E28" s="60"/>
      <c r="F28" s="60"/>
      <c r="G28" s="60"/>
      <c r="H28" s="60"/>
      <c r="I28" s="60"/>
      <c r="J28" s="77"/>
      <c r="K28" s="72"/>
      <c r="L28" s="60"/>
      <c r="M28" s="60"/>
      <c r="N28" s="60"/>
      <c r="O28" s="60"/>
      <c r="P28" s="60"/>
      <c r="Q28" s="77"/>
      <c r="R28" s="72"/>
      <c r="S28" s="72"/>
      <c r="T28" s="72"/>
      <c r="U28" s="72"/>
      <c r="V28" s="60"/>
      <c r="W28" s="60"/>
      <c r="X28" s="77"/>
      <c r="Y28" s="72"/>
      <c r="Z28" s="60"/>
      <c r="AA28" s="60"/>
      <c r="AB28" s="60"/>
      <c r="AC28" s="60"/>
      <c r="AD28" s="60"/>
      <c r="AE28" s="91"/>
      <c r="AF28" s="89"/>
      <c r="AG28" s="60"/>
      <c r="AH28" s="82"/>
      <c r="AI28" s="52">
        <f>SUM(D28:AH28)</f>
        <v>0</v>
      </c>
    </row>
    <row r="29" spans="1:35" ht="17.25" thickBot="1">
      <c r="A29" s="99"/>
      <c r="B29" s="103"/>
      <c r="C29" s="46" t="s">
        <v>34</v>
      </c>
      <c r="D29" s="68"/>
      <c r="E29" s="61"/>
      <c r="F29" s="61"/>
      <c r="G29" s="61" t="s">
        <v>74</v>
      </c>
      <c r="H29" s="61" t="s">
        <v>74</v>
      </c>
      <c r="I29" s="61" t="s">
        <v>74</v>
      </c>
      <c r="J29" s="78"/>
      <c r="K29" s="73"/>
      <c r="L29" s="61" t="s">
        <v>74</v>
      </c>
      <c r="M29" s="61" t="s">
        <v>76</v>
      </c>
      <c r="N29" s="61"/>
      <c r="O29" s="61"/>
      <c r="P29" s="61"/>
      <c r="Q29" s="78"/>
      <c r="R29" s="73"/>
      <c r="S29" s="73"/>
      <c r="T29" s="73"/>
      <c r="U29" s="73"/>
      <c r="V29" s="61"/>
      <c r="W29" s="61"/>
      <c r="X29" s="78"/>
      <c r="Y29" s="73"/>
      <c r="Z29" s="61"/>
      <c r="AA29" s="61"/>
      <c r="AB29" s="86"/>
      <c r="AC29" s="61"/>
      <c r="AD29" s="61"/>
      <c r="AE29" s="93"/>
      <c r="AF29" s="63"/>
      <c r="AG29" s="61"/>
      <c r="AH29" s="83"/>
      <c r="AI29" s="53">
        <f>SUM(D29:AH29)</f>
        <v>0</v>
      </c>
    </row>
    <row r="30" spans="1:35" ht="18" customHeight="1"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8"/>
      <c r="AE30" s="18"/>
      <c r="AF30" s="18"/>
      <c r="AG30" s="18"/>
      <c r="AH30" s="18"/>
      <c r="AI30" s="17"/>
    </row>
  </sheetData>
  <mergeCells count="77">
    <mergeCell ref="B1:G2"/>
    <mergeCell ref="B3:M3"/>
    <mergeCell ref="N3:Y3"/>
    <mergeCell ref="B4:G4"/>
    <mergeCell ref="H4:J4"/>
    <mergeCell ref="K4:M4"/>
    <mergeCell ref="N4:S4"/>
    <mergeCell ref="T4:Y4"/>
    <mergeCell ref="B5:G5"/>
    <mergeCell ref="H5:J5"/>
    <mergeCell ref="K5:M5"/>
    <mergeCell ref="N5:S5"/>
    <mergeCell ref="T5:Y5"/>
    <mergeCell ref="B6:G6"/>
    <mergeCell ref="H6:J6"/>
    <mergeCell ref="K6:M6"/>
    <mergeCell ref="N6:S6"/>
    <mergeCell ref="T6:Y6"/>
    <mergeCell ref="B7:G7"/>
    <mergeCell ref="H7:J7"/>
    <mergeCell ref="K7:M7"/>
    <mergeCell ref="N7:S7"/>
    <mergeCell ref="T7:Y7"/>
    <mergeCell ref="B9:G9"/>
    <mergeCell ref="H9:J9"/>
    <mergeCell ref="K9:M9"/>
    <mergeCell ref="N9:S9"/>
    <mergeCell ref="T9:Y9"/>
    <mergeCell ref="B8:G8"/>
    <mergeCell ref="H8:J8"/>
    <mergeCell ref="K8:M8"/>
    <mergeCell ref="N8:S8"/>
    <mergeCell ref="T8:Y8"/>
    <mergeCell ref="B10:G10"/>
    <mergeCell ref="H10:M10"/>
    <mergeCell ref="N10:S10"/>
    <mergeCell ref="T10:Y10"/>
    <mergeCell ref="B11:G11"/>
    <mergeCell ref="H11:M11"/>
    <mergeCell ref="N11:S11"/>
    <mergeCell ref="T11:Y11"/>
    <mergeCell ref="B12:G12"/>
    <mergeCell ref="H12:M12"/>
    <mergeCell ref="N12:S12"/>
    <mergeCell ref="T12:Y12"/>
    <mergeCell ref="B13:G13"/>
    <mergeCell ref="H13:M13"/>
    <mergeCell ref="N13:S13"/>
    <mergeCell ref="T13:Y13"/>
    <mergeCell ref="B14:G14"/>
    <mergeCell ref="H14:M14"/>
    <mergeCell ref="N14:S14"/>
    <mergeCell ref="T14:Y14"/>
    <mergeCell ref="B15:G15"/>
    <mergeCell ref="H15:M15"/>
    <mergeCell ref="N15:S15"/>
    <mergeCell ref="T15:Y15"/>
    <mergeCell ref="B16:G16"/>
    <mergeCell ref="H16:M16"/>
    <mergeCell ref="N16:S16"/>
    <mergeCell ref="T16:Y16"/>
    <mergeCell ref="B17:G17"/>
    <mergeCell ref="H17:M17"/>
    <mergeCell ref="N17:S17"/>
    <mergeCell ref="T17:Y17"/>
    <mergeCell ref="AI23:AI24"/>
    <mergeCell ref="A25:A29"/>
    <mergeCell ref="B25:B29"/>
    <mergeCell ref="AD17:AE17"/>
    <mergeCell ref="N18:Y18"/>
    <mergeCell ref="P19:S20"/>
    <mergeCell ref="T19:W20"/>
    <mergeCell ref="N21:Y21"/>
    <mergeCell ref="AD22:AG22"/>
    <mergeCell ref="A23:A24"/>
    <mergeCell ref="B23:B24"/>
    <mergeCell ref="C23:C24"/>
  </mergeCells>
  <phoneticPr fontId="2" type="noConversion"/>
  <pageMargins left="0.7" right="0.7" top="0.75" bottom="0.75" header="0.3" footer="0.3"/>
  <pageSetup paperSize="9" scale="73" orientation="landscape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J30"/>
  <sheetViews>
    <sheetView showGridLines="0" showZeros="0" zoomScale="90" zoomScaleNormal="90" workbookViewId="0">
      <selection activeCell="O35" sqref="O35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9" customWidth="1"/>
    <col min="32" max="34" width="4.625" style="9" hidden="1" customWidth="1"/>
    <col min="35" max="35" width="6.5" style="1" bestFit="1" customWidth="1"/>
    <col min="36" max="36" width="4.25" style="1" customWidth="1"/>
    <col min="37" max="38" width="3.75" style="1" customWidth="1"/>
    <col min="39" max="62" width="3.25" style="1" customWidth="1"/>
    <col min="63" max="65" width="2.125" style="1" customWidth="1"/>
    <col min="66" max="16384" width="3.625" style="1"/>
  </cols>
  <sheetData>
    <row r="1" spans="2:36" ht="16.5" customHeight="1">
      <c r="B1" s="149" t="s">
        <v>44</v>
      </c>
      <c r="C1" s="149"/>
      <c r="D1" s="149"/>
      <c r="E1" s="149"/>
      <c r="F1" s="149"/>
      <c r="G1" s="149"/>
    </row>
    <row r="2" spans="2:36" ht="17.25" customHeight="1" thickBot="1">
      <c r="B2" s="150"/>
      <c r="C2" s="150"/>
      <c r="D2" s="150"/>
      <c r="E2" s="150"/>
      <c r="F2" s="150"/>
      <c r="G2" s="150"/>
    </row>
    <row r="3" spans="2:36" ht="16.5">
      <c r="B3" s="151" t="s">
        <v>0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 t="s">
        <v>1</v>
      </c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3"/>
    </row>
    <row r="4" spans="2:36" ht="16.5" customHeight="1">
      <c r="B4" s="135" t="s">
        <v>2</v>
      </c>
      <c r="C4" s="136"/>
      <c r="D4" s="136"/>
      <c r="E4" s="136"/>
      <c r="F4" s="136"/>
      <c r="G4" s="137"/>
      <c r="H4" s="148">
        <f>AI25</f>
        <v>192</v>
      </c>
      <c r="I4" s="148"/>
      <c r="J4" s="148"/>
      <c r="K4" s="117">
        <f>H4*10320</f>
        <v>1981440</v>
      </c>
      <c r="L4" s="117"/>
      <c r="M4" s="117"/>
      <c r="N4" s="137" t="s">
        <v>29</v>
      </c>
      <c r="O4" s="142"/>
      <c r="P4" s="142"/>
      <c r="Q4" s="142"/>
      <c r="R4" s="142"/>
      <c r="S4" s="143"/>
      <c r="T4" s="126">
        <v>99750</v>
      </c>
      <c r="U4" s="127"/>
      <c r="V4" s="127"/>
      <c r="W4" s="127"/>
      <c r="X4" s="127"/>
      <c r="Y4" s="144"/>
    </row>
    <row r="5" spans="2:36" ht="16.5" customHeight="1">
      <c r="B5" s="141" t="s">
        <v>3</v>
      </c>
      <c r="C5" s="142"/>
      <c r="D5" s="142"/>
      <c r="E5" s="142"/>
      <c r="F5" s="142"/>
      <c r="G5" s="143"/>
      <c r="H5" s="148">
        <f>AI26</f>
        <v>16</v>
      </c>
      <c r="I5" s="148"/>
      <c r="J5" s="148"/>
      <c r="K5" s="117">
        <f>H5*10320*1.5</f>
        <v>247680</v>
      </c>
      <c r="L5" s="117"/>
      <c r="M5" s="117"/>
      <c r="N5" s="137" t="s">
        <v>30</v>
      </c>
      <c r="O5" s="142"/>
      <c r="P5" s="142"/>
      <c r="Q5" s="142"/>
      <c r="R5" s="142"/>
      <c r="S5" s="143"/>
      <c r="T5" s="126">
        <f>H17*3.595%</f>
        <v>101488.28800000002</v>
      </c>
      <c r="U5" s="127"/>
      <c r="V5" s="127"/>
      <c r="W5" s="127"/>
      <c r="X5" s="127"/>
      <c r="Y5" s="144"/>
    </row>
    <row r="6" spans="2:36" ht="16.5" customHeight="1">
      <c r="B6" s="141" t="s">
        <v>4</v>
      </c>
      <c r="C6" s="142"/>
      <c r="D6" s="142"/>
      <c r="E6" s="142"/>
      <c r="F6" s="142"/>
      <c r="G6" s="143"/>
      <c r="H6" s="148"/>
      <c r="I6" s="148"/>
      <c r="J6" s="148"/>
      <c r="K6" s="117"/>
      <c r="L6" s="117"/>
      <c r="M6" s="117"/>
      <c r="N6" s="137" t="s">
        <v>17</v>
      </c>
      <c r="O6" s="142"/>
      <c r="P6" s="142"/>
      <c r="Q6" s="142"/>
      <c r="R6" s="142"/>
      <c r="S6" s="143"/>
      <c r="T6" s="126">
        <f>T5*13.14%</f>
        <v>13335.561043200003</v>
      </c>
      <c r="U6" s="127"/>
      <c r="V6" s="127"/>
      <c r="W6" s="127"/>
      <c r="X6" s="127"/>
      <c r="Y6" s="144"/>
      <c r="AI6" s="154"/>
      <c r="AJ6" s="154"/>
    </row>
    <row r="7" spans="2:36" ht="16.5" customHeight="1">
      <c r="B7" s="141" t="s">
        <v>5</v>
      </c>
      <c r="C7" s="142"/>
      <c r="D7" s="142"/>
      <c r="E7" s="142"/>
      <c r="F7" s="142"/>
      <c r="G7" s="143"/>
      <c r="H7" s="148">
        <f>AI27</f>
        <v>32</v>
      </c>
      <c r="I7" s="148"/>
      <c r="J7" s="148"/>
      <c r="K7" s="117">
        <f>H7*10320*1.5</f>
        <v>495360</v>
      </c>
      <c r="L7" s="117"/>
      <c r="M7" s="117"/>
      <c r="N7" s="137" t="s">
        <v>31</v>
      </c>
      <c r="O7" s="142"/>
      <c r="P7" s="142"/>
      <c r="Q7" s="142"/>
      <c r="R7" s="142"/>
      <c r="S7" s="143"/>
      <c r="T7" s="126">
        <f>H17*0.9%</f>
        <v>25407.360000000004</v>
      </c>
      <c r="U7" s="127"/>
      <c r="V7" s="127"/>
      <c r="W7" s="127"/>
      <c r="X7" s="127"/>
      <c r="Y7" s="144"/>
      <c r="AI7" s="154"/>
      <c r="AJ7" s="154"/>
    </row>
    <row r="8" spans="2:36" ht="16.5" customHeight="1">
      <c r="B8" s="141" t="s">
        <v>6</v>
      </c>
      <c r="C8" s="142"/>
      <c r="D8" s="142"/>
      <c r="E8" s="142"/>
      <c r="F8" s="142"/>
      <c r="G8" s="143"/>
      <c r="H8" s="145"/>
      <c r="I8" s="146"/>
      <c r="J8" s="147"/>
      <c r="K8" s="126">
        <f>H8*9860*2</f>
        <v>0</v>
      </c>
      <c r="L8" s="127"/>
      <c r="M8" s="128"/>
      <c r="N8" s="137" t="s">
        <v>32</v>
      </c>
      <c r="O8" s="142"/>
      <c r="P8" s="142"/>
      <c r="Q8" s="142"/>
      <c r="R8" s="142"/>
      <c r="S8" s="143"/>
      <c r="T8" s="126">
        <v>58520</v>
      </c>
      <c r="U8" s="127"/>
      <c r="V8" s="127"/>
      <c r="W8" s="127"/>
      <c r="X8" s="127"/>
      <c r="Y8" s="144"/>
      <c r="AI8" s="154"/>
      <c r="AJ8" s="154"/>
    </row>
    <row r="9" spans="2:36" ht="16.5" customHeight="1">
      <c r="B9" s="141" t="s">
        <v>28</v>
      </c>
      <c r="C9" s="142"/>
      <c r="D9" s="142"/>
      <c r="E9" s="142"/>
      <c r="F9" s="142"/>
      <c r="G9" s="143"/>
      <c r="H9" s="145">
        <f>AI29</f>
        <v>0</v>
      </c>
      <c r="I9" s="146"/>
      <c r="J9" s="147"/>
      <c r="K9" s="117"/>
      <c r="L9" s="117"/>
      <c r="M9" s="117"/>
      <c r="N9" s="136" t="s">
        <v>33</v>
      </c>
      <c r="O9" s="136"/>
      <c r="P9" s="136"/>
      <c r="Q9" s="136"/>
      <c r="R9" s="136"/>
      <c r="S9" s="136"/>
      <c r="T9" s="126">
        <f>T8*10%</f>
        <v>5852</v>
      </c>
      <c r="U9" s="127"/>
      <c r="V9" s="127"/>
      <c r="W9" s="127"/>
      <c r="X9" s="127"/>
      <c r="Y9" s="144"/>
      <c r="AI9" s="104"/>
      <c r="AJ9" s="104"/>
    </row>
    <row r="10" spans="2:36" ht="16.5" customHeight="1">
      <c r="B10" s="141" t="s">
        <v>37</v>
      </c>
      <c r="C10" s="142"/>
      <c r="D10" s="142"/>
      <c r="E10" s="142"/>
      <c r="F10" s="142"/>
      <c r="G10" s="143"/>
      <c r="H10" s="126">
        <v>82560</v>
      </c>
      <c r="I10" s="127"/>
      <c r="J10" s="127"/>
      <c r="K10" s="127"/>
      <c r="L10" s="127"/>
      <c r="M10" s="128"/>
      <c r="N10" s="136" t="s">
        <v>67</v>
      </c>
      <c r="O10" s="136"/>
      <c r="P10" s="136"/>
      <c r="Q10" s="136"/>
      <c r="R10" s="136"/>
      <c r="S10" s="136"/>
      <c r="T10" s="117">
        <v>2715767</v>
      </c>
      <c r="U10" s="117"/>
      <c r="V10" s="117"/>
      <c r="W10" s="117"/>
      <c r="X10" s="117"/>
      <c r="Y10" s="118"/>
      <c r="Z10" s="2"/>
      <c r="AA10" s="2"/>
    </row>
    <row r="11" spans="2:36" ht="16.5" customHeight="1">
      <c r="B11" s="141" t="s">
        <v>59</v>
      </c>
      <c r="C11" s="142"/>
      <c r="D11" s="142"/>
      <c r="E11" s="142"/>
      <c r="F11" s="142"/>
      <c r="G11" s="143"/>
      <c r="H11" s="126">
        <v>16000</v>
      </c>
      <c r="I11" s="127"/>
      <c r="J11" s="127"/>
      <c r="K11" s="127"/>
      <c r="L11" s="127"/>
      <c r="M11" s="128"/>
      <c r="N11" s="136" t="s">
        <v>77</v>
      </c>
      <c r="O11" s="136"/>
      <c r="P11" s="136"/>
      <c r="Q11" s="136"/>
      <c r="R11" s="136"/>
      <c r="S11" s="136"/>
      <c r="T11" s="126">
        <v>-197080</v>
      </c>
      <c r="U11" s="127"/>
      <c r="V11" s="127"/>
      <c r="W11" s="127"/>
      <c r="X11" s="127"/>
      <c r="Y11" s="144"/>
      <c r="Z11" s="2"/>
      <c r="AA11" s="2"/>
    </row>
    <row r="12" spans="2:36" ht="16.5">
      <c r="B12" s="135"/>
      <c r="C12" s="136"/>
      <c r="D12" s="136"/>
      <c r="E12" s="136"/>
      <c r="F12" s="136"/>
      <c r="G12" s="137"/>
      <c r="H12" s="117"/>
      <c r="I12" s="117"/>
      <c r="J12" s="117"/>
      <c r="K12" s="117"/>
      <c r="L12" s="117"/>
      <c r="M12" s="117"/>
      <c r="N12" s="138"/>
      <c r="O12" s="138"/>
      <c r="P12" s="138"/>
      <c r="Q12" s="138"/>
      <c r="R12" s="138"/>
      <c r="S12" s="138"/>
      <c r="T12" s="139"/>
      <c r="U12" s="139"/>
      <c r="V12" s="139"/>
      <c r="W12" s="139"/>
      <c r="X12" s="139"/>
      <c r="Y12" s="140"/>
      <c r="Z12" s="2"/>
      <c r="AA12" s="2"/>
    </row>
    <row r="13" spans="2:36" ht="17.25" customHeight="1">
      <c r="B13" s="114"/>
      <c r="C13" s="115"/>
      <c r="D13" s="115"/>
      <c r="E13" s="115"/>
      <c r="F13" s="115"/>
      <c r="G13" s="116"/>
      <c r="H13" s="126"/>
      <c r="I13" s="127"/>
      <c r="J13" s="127"/>
      <c r="K13" s="127"/>
      <c r="L13" s="127"/>
      <c r="M13" s="127"/>
      <c r="N13" s="115"/>
      <c r="O13" s="115"/>
      <c r="P13" s="115"/>
      <c r="Q13" s="115"/>
      <c r="R13" s="115"/>
      <c r="S13" s="115"/>
      <c r="T13" s="117"/>
      <c r="U13" s="117"/>
      <c r="V13" s="117"/>
      <c r="W13" s="117"/>
      <c r="X13" s="117"/>
      <c r="Y13" s="118"/>
      <c r="Z13" s="2"/>
      <c r="AA13" s="2"/>
    </row>
    <row r="14" spans="2:36" ht="16.5">
      <c r="B14" s="124"/>
      <c r="C14" s="125"/>
      <c r="D14" s="125"/>
      <c r="E14" s="125"/>
      <c r="F14" s="125"/>
      <c r="G14" s="125"/>
      <c r="H14" s="126"/>
      <c r="I14" s="127"/>
      <c r="J14" s="127"/>
      <c r="K14" s="127"/>
      <c r="L14" s="127"/>
      <c r="M14" s="128"/>
      <c r="N14" s="129"/>
      <c r="O14" s="130"/>
      <c r="P14" s="130"/>
      <c r="Q14" s="130"/>
      <c r="R14" s="130"/>
      <c r="S14" s="131"/>
      <c r="T14" s="132"/>
      <c r="U14" s="133"/>
      <c r="V14" s="133"/>
      <c r="W14" s="133"/>
      <c r="X14" s="133"/>
      <c r="Y14" s="134"/>
      <c r="Z14" s="2"/>
      <c r="AA14" s="2"/>
    </row>
    <row r="15" spans="2:36" ht="16.5">
      <c r="B15" s="114"/>
      <c r="C15" s="115"/>
      <c r="D15" s="115"/>
      <c r="E15" s="115"/>
      <c r="F15" s="115"/>
      <c r="G15" s="116"/>
      <c r="H15" s="117"/>
      <c r="I15" s="117"/>
      <c r="J15" s="117"/>
      <c r="K15" s="117"/>
      <c r="L15" s="117"/>
      <c r="M15" s="117"/>
      <c r="N15" s="115"/>
      <c r="O15" s="115"/>
      <c r="P15" s="115"/>
      <c r="Q15" s="115"/>
      <c r="R15" s="115"/>
      <c r="S15" s="115"/>
      <c r="T15" s="117"/>
      <c r="U15" s="117"/>
      <c r="V15" s="117"/>
      <c r="W15" s="117"/>
      <c r="X15" s="117"/>
      <c r="Y15" s="118"/>
      <c r="Z15" s="2"/>
      <c r="AA15" s="2"/>
    </row>
    <row r="16" spans="2:36" ht="16.5">
      <c r="B16" s="114"/>
      <c r="C16" s="115"/>
      <c r="D16" s="115"/>
      <c r="E16" s="115"/>
      <c r="F16" s="115"/>
      <c r="G16" s="116"/>
      <c r="H16" s="117"/>
      <c r="I16" s="117"/>
      <c r="J16" s="117"/>
      <c r="K16" s="117"/>
      <c r="L16" s="117"/>
      <c r="M16" s="117"/>
      <c r="N16" s="115" t="s">
        <v>7</v>
      </c>
      <c r="O16" s="115"/>
      <c r="P16" s="115"/>
      <c r="Q16" s="115"/>
      <c r="R16" s="115"/>
      <c r="S16" s="115"/>
      <c r="T16" s="117">
        <f>SUM(T4:Y12)</f>
        <v>2823040.2090432001</v>
      </c>
      <c r="U16" s="117"/>
      <c r="V16" s="117"/>
      <c r="W16" s="117"/>
      <c r="X16" s="117"/>
      <c r="Y16" s="118"/>
      <c r="Z16" s="9"/>
      <c r="AA16" s="9"/>
    </row>
    <row r="17" spans="1:35" ht="17.25" thickBot="1">
      <c r="B17" s="119" t="s">
        <v>8</v>
      </c>
      <c r="C17" s="120"/>
      <c r="D17" s="120"/>
      <c r="E17" s="120"/>
      <c r="F17" s="120"/>
      <c r="G17" s="121"/>
      <c r="H17" s="122">
        <f>SUM(K4,K5,K6,K7,K8,K9,H10,H11,H12,H13,H14,H15,H16)</f>
        <v>2823040</v>
      </c>
      <c r="I17" s="122"/>
      <c r="J17" s="122"/>
      <c r="K17" s="122"/>
      <c r="L17" s="122"/>
      <c r="M17" s="122"/>
      <c r="N17" s="120" t="s">
        <v>9</v>
      </c>
      <c r="O17" s="120"/>
      <c r="P17" s="120"/>
      <c r="Q17" s="120"/>
      <c r="R17" s="120"/>
      <c r="S17" s="120"/>
      <c r="T17" s="122">
        <f>H17-T16</f>
        <v>-0.20904320012778044</v>
      </c>
      <c r="U17" s="122"/>
      <c r="V17" s="122"/>
      <c r="W17" s="122"/>
      <c r="X17" s="122"/>
      <c r="Y17" s="123"/>
      <c r="Z17" s="9"/>
      <c r="AA17" s="9"/>
      <c r="AD17" s="104"/>
      <c r="AE17" s="104"/>
    </row>
    <row r="18" spans="1:35" ht="21.75" customHeight="1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9"/>
      <c r="AA18" s="9"/>
    </row>
    <row r="19" spans="1:35" ht="16.5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O19" s="3"/>
      <c r="P19" s="106" t="s">
        <v>10</v>
      </c>
      <c r="Q19" s="104"/>
      <c r="R19" s="104"/>
      <c r="S19" s="104"/>
      <c r="T19" s="107" t="s">
        <v>51</v>
      </c>
      <c r="U19" s="107"/>
      <c r="V19" s="107"/>
      <c r="W19" s="107"/>
      <c r="Z19" s="9"/>
      <c r="AA19" s="4"/>
    </row>
    <row r="20" spans="1:35" ht="16.5"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P20" s="104"/>
      <c r="Q20" s="104"/>
      <c r="R20" s="104"/>
      <c r="S20" s="104"/>
      <c r="T20" s="107"/>
      <c r="U20" s="107"/>
      <c r="V20" s="107"/>
      <c r="W20" s="107"/>
      <c r="Z20" s="9"/>
      <c r="AA20" s="4"/>
    </row>
    <row r="21" spans="1:35" ht="17.25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108" t="s">
        <v>26</v>
      </c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9"/>
      <c r="AA21" s="9"/>
    </row>
    <row r="22" spans="1:35" s="12" customFormat="1" ht="17.25" thickBot="1">
      <c r="X22" s="13"/>
      <c r="AD22" s="109"/>
      <c r="AE22" s="109"/>
      <c r="AF22" s="109"/>
      <c r="AG22" s="109"/>
      <c r="AH22" s="14"/>
    </row>
    <row r="23" spans="1:35" ht="16.5" customHeight="1">
      <c r="A23" s="110"/>
      <c r="B23" s="111" t="s">
        <v>11</v>
      </c>
      <c r="C23" s="112" t="s">
        <v>12</v>
      </c>
      <c r="D23" s="64">
        <v>1</v>
      </c>
      <c r="E23" s="57">
        <v>2</v>
      </c>
      <c r="F23" s="57">
        <v>3</v>
      </c>
      <c r="G23" s="57">
        <v>4</v>
      </c>
      <c r="H23" s="57">
        <v>5</v>
      </c>
      <c r="I23" s="57">
        <v>6</v>
      </c>
      <c r="J23" s="74">
        <v>7</v>
      </c>
      <c r="K23" s="69">
        <v>8</v>
      </c>
      <c r="L23" s="57">
        <v>9</v>
      </c>
      <c r="M23" s="57">
        <v>10</v>
      </c>
      <c r="N23" s="57">
        <v>11</v>
      </c>
      <c r="O23" s="57">
        <v>12</v>
      </c>
      <c r="P23" s="57">
        <v>13</v>
      </c>
      <c r="Q23" s="74">
        <v>14</v>
      </c>
      <c r="R23" s="69">
        <v>15</v>
      </c>
      <c r="S23" s="69">
        <v>16</v>
      </c>
      <c r="T23" s="69">
        <v>17</v>
      </c>
      <c r="U23" s="69">
        <v>18</v>
      </c>
      <c r="V23" s="57">
        <v>19</v>
      </c>
      <c r="W23" s="57">
        <v>20</v>
      </c>
      <c r="X23" s="74">
        <v>21</v>
      </c>
      <c r="Y23" s="69">
        <v>22</v>
      </c>
      <c r="Z23" s="57">
        <v>23</v>
      </c>
      <c r="AA23" s="57">
        <v>24</v>
      </c>
      <c r="AB23" s="85">
        <v>25</v>
      </c>
      <c r="AC23" s="57">
        <v>26</v>
      </c>
      <c r="AD23" s="57">
        <v>27</v>
      </c>
      <c r="AE23" s="74">
        <v>28</v>
      </c>
      <c r="AF23" s="57">
        <v>29</v>
      </c>
      <c r="AG23" s="57">
        <v>30</v>
      </c>
      <c r="AH23" s="79">
        <v>31</v>
      </c>
      <c r="AI23" s="97" t="s">
        <v>18</v>
      </c>
    </row>
    <row r="24" spans="1:35" ht="16.5" customHeight="1" thickBot="1">
      <c r="A24" s="110"/>
      <c r="B24" s="103"/>
      <c r="C24" s="113"/>
      <c r="D24" s="65" t="s">
        <v>72</v>
      </c>
      <c r="E24" s="58" t="s">
        <v>73</v>
      </c>
      <c r="F24" s="58" t="s">
        <v>19</v>
      </c>
      <c r="G24" s="58" t="s">
        <v>20</v>
      </c>
      <c r="H24" s="58" t="s">
        <v>21</v>
      </c>
      <c r="I24" s="58" t="s">
        <v>22</v>
      </c>
      <c r="J24" s="75" t="s">
        <v>23</v>
      </c>
      <c r="K24" s="70" t="s">
        <v>24</v>
      </c>
      <c r="L24" s="58" t="s">
        <v>25</v>
      </c>
      <c r="M24" s="58" t="s">
        <v>19</v>
      </c>
      <c r="N24" s="58" t="s">
        <v>20</v>
      </c>
      <c r="O24" s="58" t="s">
        <v>21</v>
      </c>
      <c r="P24" s="58" t="s">
        <v>22</v>
      </c>
      <c r="Q24" s="75" t="s">
        <v>23</v>
      </c>
      <c r="R24" s="70" t="s">
        <v>24</v>
      </c>
      <c r="S24" s="70" t="s">
        <v>25</v>
      </c>
      <c r="T24" s="70" t="s">
        <v>19</v>
      </c>
      <c r="U24" s="70" t="s">
        <v>20</v>
      </c>
      <c r="V24" s="58" t="s">
        <v>21</v>
      </c>
      <c r="W24" s="58" t="s">
        <v>22</v>
      </c>
      <c r="X24" s="75" t="s">
        <v>23</v>
      </c>
      <c r="Y24" s="70" t="s">
        <v>24</v>
      </c>
      <c r="Z24" s="58" t="s">
        <v>25</v>
      </c>
      <c r="AA24" s="58" t="s">
        <v>19</v>
      </c>
      <c r="AB24" s="58" t="s">
        <v>20</v>
      </c>
      <c r="AC24" s="58" t="s">
        <v>21</v>
      </c>
      <c r="AD24" s="58" t="s">
        <v>22</v>
      </c>
      <c r="AE24" s="75" t="s">
        <v>23</v>
      </c>
      <c r="AF24" s="58" t="s">
        <v>21</v>
      </c>
      <c r="AG24" s="58" t="s">
        <v>22</v>
      </c>
      <c r="AH24" s="80" t="s">
        <v>69</v>
      </c>
      <c r="AI24" s="98"/>
    </row>
    <row r="25" spans="1:35" ht="16.5">
      <c r="A25" s="99"/>
      <c r="B25" s="100" t="str">
        <f>T19</f>
        <v>류경화</v>
      </c>
      <c r="C25" s="34" t="s">
        <v>13</v>
      </c>
      <c r="D25" s="66">
        <v>8</v>
      </c>
      <c r="E25" s="59">
        <v>8</v>
      </c>
      <c r="F25" s="59">
        <v>8</v>
      </c>
      <c r="G25" s="59">
        <v>8</v>
      </c>
      <c r="H25" s="59">
        <v>8</v>
      </c>
      <c r="I25" s="59">
        <v>8</v>
      </c>
      <c r="J25" s="76"/>
      <c r="K25" s="71">
        <v>8</v>
      </c>
      <c r="L25" s="59">
        <v>8</v>
      </c>
      <c r="M25" s="59">
        <v>8</v>
      </c>
      <c r="N25" s="59">
        <v>8</v>
      </c>
      <c r="O25" s="59">
        <v>8</v>
      </c>
      <c r="P25" s="59">
        <v>8</v>
      </c>
      <c r="Q25" s="76"/>
      <c r="R25" s="71">
        <v>8</v>
      </c>
      <c r="S25" s="71">
        <v>8</v>
      </c>
      <c r="T25" s="71">
        <v>8</v>
      </c>
      <c r="U25" s="71">
        <v>8</v>
      </c>
      <c r="V25" s="59">
        <v>8</v>
      </c>
      <c r="W25" s="59">
        <v>8</v>
      </c>
      <c r="X25" s="76"/>
      <c r="Y25" s="71">
        <v>8</v>
      </c>
      <c r="Z25" s="59">
        <v>8</v>
      </c>
      <c r="AA25" s="59">
        <v>8</v>
      </c>
      <c r="AB25" s="59">
        <v>8</v>
      </c>
      <c r="AC25" s="59">
        <v>8</v>
      </c>
      <c r="AD25" s="59">
        <v>8</v>
      </c>
      <c r="AE25" s="90"/>
      <c r="AF25" s="88"/>
      <c r="AG25" s="59"/>
      <c r="AH25" s="81"/>
      <c r="AI25" s="54">
        <f>SUM(D25:AH25)</f>
        <v>192</v>
      </c>
    </row>
    <row r="26" spans="1:35" ht="16.5">
      <c r="A26" s="99"/>
      <c r="B26" s="101"/>
      <c r="C26" s="35" t="s">
        <v>14</v>
      </c>
      <c r="D26" s="67"/>
      <c r="E26" s="60">
        <v>2</v>
      </c>
      <c r="F26" s="60">
        <v>2</v>
      </c>
      <c r="G26" s="60">
        <v>2</v>
      </c>
      <c r="H26" s="60">
        <v>2</v>
      </c>
      <c r="I26" s="60"/>
      <c r="J26" s="77"/>
      <c r="K26" s="72"/>
      <c r="L26" s="60">
        <v>2</v>
      </c>
      <c r="M26" s="60">
        <v>2</v>
      </c>
      <c r="N26" s="60"/>
      <c r="O26" s="60">
        <v>2</v>
      </c>
      <c r="P26" s="60"/>
      <c r="Q26" s="77"/>
      <c r="R26" s="72"/>
      <c r="S26" s="72"/>
      <c r="T26" s="72"/>
      <c r="U26" s="72"/>
      <c r="V26" s="60"/>
      <c r="W26" s="60"/>
      <c r="X26" s="77"/>
      <c r="Y26" s="72"/>
      <c r="Z26" s="60"/>
      <c r="AA26" s="60"/>
      <c r="AB26" s="60"/>
      <c r="AC26" s="60"/>
      <c r="AD26" s="60">
        <v>2</v>
      </c>
      <c r="AE26" s="91"/>
      <c r="AF26" s="89"/>
      <c r="AG26" s="60"/>
      <c r="AH26" s="82"/>
      <c r="AI26" s="55">
        <f>SUM(D26:AH26)</f>
        <v>16</v>
      </c>
    </row>
    <row r="27" spans="1:35" ht="16.5">
      <c r="A27" s="99"/>
      <c r="B27" s="101"/>
      <c r="C27" s="35" t="s">
        <v>15</v>
      </c>
      <c r="D27" s="67"/>
      <c r="E27" s="60"/>
      <c r="F27" s="60"/>
      <c r="G27" s="60"/>
      <c r="H27" s="60"/>
      <c r="I27" s="60"/>
      <c r="J27" s="77">
        <v>8</v>
      </c>
      <c r="K27" s="72"/>
      <c r="L27" s="60"/>
      <c r="M27" s="60"/>
      <c r="N27" s="60"/>
      <c r="O27" s="60"/>
      <c r="P27" s="60"/>
      <c r="Q27" s="77">
        <v>8</v>
      </c>
      <c r="R27" s="72"/>
      <c r="S27" s="72"/>
      <c r="T27" s="72"/>
      <c r="U27" s="72"/>
      <c r="V27" s="60"/>
      <c r="W27" s="60"/>
      <c r="X27" s="77">
        <v>8</v>
      </c>
      <c r="Y27" s="72"/>
      <c r="Z27" s="60"/>
      <c r="AA27" s="60"/>
      <c r="AB27" s="60"/>
      <c r="AC27" s="60"/>
      <c r="AD27" s="60"/>
      <c r="AE27" s="91">
        <v>8</v>
      </c>
      <c r="AF27" s="89"/>
      <c r="AG27" s="60"/>
      <c r="AH27" s="82"/>
      <c r="AI27" s="55">
        <f>SUM(D27:AH27)</f>
        <v>32</v>
      </c>
    </row>
    <row r="28" spans="1:35" ht="16.5">
      <c r="A28" s="99"/>
      <c r="B28" s="102"/>
      <c r="C28" s="15" t="s">
        <v>27</v>
      </c>
      <c r="D28" s="67"/>
      <c r="E28" s="60"/>
      <c r="F28" s="60"/>
      <c r="G28" s="60"/>
      <c r="H28" s="60"/>
      <c r="I28" s="60"/>
      <c r="J28" s="77"/>
      <c r="K28" s="72"/>
      <c r="L28" s="60"/>
      <c r="M28" s="60"/>
      <c r="N28" s="60"/>
      <c r="O28" s="60"/>
      <c r="P28" s="60"/>
      <c r="Q28" s="77"/>
      <c r="R28" s="72"/>
      <c r="S28" s="72"/>
      <c r="T28" s="72"/>
      <c r="U28" s="72"/>
      <c r="V28" s="60"/>
      <c r="W28" s="60"/>
      <c r="X28" s="77"/>
      <c r="Y28" s="72"/>
      <c r="Z28" s="60"/>
      <c r="AA28" s="60"/>
      <c r="AB28" s="60"/>
      <c r="AC28" s="60"/>
      <c r="AD28" s="60"/>
      <c r="AE28" s="91"/>
      <c r="AF28" s="89"/>
      <c r="AG28" s="60"/>
      <c r="AH28" s="82"/>
      <c r="AI28" s="55">
        <f>SUM(D28:AH28)</f>
        <v>0</v>
      </c>
    </row>
    <row r="29" spans="1:35" ht="17.25" thickBot="1">
      <c r="A29" s="99"/>
      <c r="B29" s="103"/>
      <c r="C29" s="46" t="s">
        <v>34</v>
      </c>
      <c r="D29" s="68"/>
      <c r="E29" s="61"/>
      <c r="F29" s="61"/>
      <c r="G29" s="61"/>
      <c r="H29" s="61"/>
      <c r="I29" s="61"/>
      <c r="J29" s="78"/>
      <c r="K29" s="73"/>
      <c r="L29" s="61"/>
      <c r="M29" s="61"/>
      <c r="N29" s="61"/>
      <c r="O29" s="61"/>
      <c r="P29" s="61"/>
      <c r="Q29" s="78"/>
      <c r="R29" s="73"/>
      <c r="S29" s="73"/>
      <c r="T29" s="73"/>
      <c r="U29" s="73"/>
      <c r="V29" s="61"/>
      <c r="W29" s="61"/>
      <c r="X29" s="78"/>
      <c r="Y29" s="73"/>
      <c r="Z29" s="61"/>
      <c r="AA29" s="61"/>
      <c r="AB29" s="86"/>
      <c r="AC29" s="61"/>
      <c r="AD29" s="61"/>
      <c r="AE29" s="93"/>
      <c r="AF29" s="63"/>
      <c r="AG29" s="61"/>
      <c r="AH29" s="83"/>
      <c r="AI29" s="56">
        <f>SUM(D29:AH29)</f>
        <v>0</v>
      </c>
    </row>
    <row r="30" spans="1:35" ht="18" customHeight="1"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8"/>
      <c r="AE30" s="18"/>
      <c r="AF30" s="18"/>
      <c r="AG30" s="18"/>
      <c r="AH30" s="18"/>
    </row>
  </sheetData>
  <mergeCells count="81">
    <mergeCell ref="B1:G2"/>
    <mergeCell ref="B3:M3"/>
    <mergeCell ref="N3:Y3"/>
    <mergeCell ref="B4:G4"/>
    <mergeCell ref="H4:J4"/>
    <mergeCell ref="K4:M4"/>
    <mergeCell ref="N4:S4"/>
    <mergeCell ref="T4:Y4"/>
    <mergeCell ref="B5:G5"/>
    <mergeCell ref="H5:J5"/>
    <mergeCell ref="K5:M5"/>
    <mergeCell ref="N5:S5"/>
    <mergeCell ref="T5:Y5"/>
    <mergeCell ref="AI6:AJ6"/>
    <mergeCell ref="B7:G7"/>
    <mergeCell ref="H7:J7"/>
    <mergeCell ref="K7:M7"/>
    <mergeCell ref="N7:S7"/>
    <mergeCell ref="T7:Y7"/>
    <mergeCell ref="AI7:AJ7"/>
    <mergeCell ref="B6:G6"/>
    <mergeCell ref="H6:J6"/>
    <mergeCell ref="K6:M6"/>
    <mergeCell ref="N6:S6"/>
    <mergeCell ref="T6:Y6"/>
    <mergeCell ref="AI9:AJ9"/>
    <mergeCell ref="B8:G8"/>
    <mergeCell ref="H8:J8"/>
    <mergeCell ref="K8:M8"/>
    <mergeCell ref="N8:S8"/>
    <mergeCell ref="T8:Y8"/>
    <mergeCell ref="AI8:AJ8"/>
    <mergeCell ref="B9:G9"/>
    <mergeCell ref="H9:J9"/>
    <mergeCell ref="K9:M9"/>
    <mergeCell ref="N9:S9"/>
    <mergeCell ref="T9:Y9"/>
    <mergeCell ref="B10:G10"/>
    <mergeCell ref="H10:M10"/>
    <mergeCell ref="N10:S10"/>
    <mergeCell ref="T10:Y10"/>
    <mergeCell ref="B11:G11"/>
    <mergeCell ref="H11:M11"/>
    <mergeCell ref="N11:S11"/>
    <mergeCell ref="T11:Y11"/>
    <mergeCell ref="B12:G12"/>
    <mergeCell ref="H12:M12"/>
    <mergeCell ref="N12:S12"/>
    <mergeCell ref="T12:Y12"/>
    <mergeCell ref="B13:G13"/>
    <mergeCell ref="H13:M13"/>
    <mergeCell ref="N13:S13"/>
    <mergeCell ref="T13:Y13"/>
    <mergeCell ref="B14:G14"/>
    <mergeCell ref="H14:M14"/>
    <mergeCell ref="N14:S14"/>
    <mergeCell ref="T14:Y14"/>
    <mergeCell ref="B15:G15"/>
    <mergeCell ref="H15:M15"/>
    <mergeCell ref="N15:S15"/>
    <mergeCell ref="T15:Y15"/>
    <mergeCell ref="B16:G16"/>
    <mergeCell ref="H16:M16"/>
    <mergeCell ref="N16:S16"/>
    <mergeCell ref="T16:Y16"/>
    <mergeCell ref="B17:G17"/>
    <mergeCell ref="H17:M17"/>
    <mergeCell ref="N17:S17"/>
    <mergeCell ref="T17:Y17"/>
    <mergeCell ref="AI23:AI24"/>
    <mergeCell ref="AD17:AE17"/>
    <mergeCell ref="N18:Y18"/>
    <mergeCell ref="P19:S20"/>
    <mergeCell ref="T19:W20"/>
    <mergeCell ref="N21:Y21"/>
    <mergeCell ref="A25:A29"/>
    <mergeCell ref="B25:B29"/>
    <mergeCell ref="AD22:AG22"/>
    <mergeCell ref="A23:A24"/>
    <mergeCell ref="B23:B24"/>
    <mergeCell ref="C23:C24"/>
  </mergeCells>
  <phoneticPr fontId="2" type="noConversion"/>
  <pageMargins left="0.7" right="0.7" top="0.75" bottom="0.75" header="0.3" footer="0.3"/>
  <pageSetup paperSize="9" scale="73" orientation="landscape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J30"/>
  <sheetViews>
    <sheetView showGridLines="0" showZeros="0" zoomScale="90" zoomScaleNormal="90" workbookViewId="0">
      <selection activeCell="Q35" sqref="Q35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9" customWidth="1"/>
    <col min="32" max="34" width="4.625" style="9" hidden="1" customWidth="1"/>
    <col min="35" max="35" width="6" style="1" customWidth="1"/>
    <col min="36" max="36" width="4.25" style="1" customWidth="1"/>
    <col min="37" max="38" width="3.75" style="1" customWidth="1"/>
    <col min="39" max="62" width="3.25" style="1" customWidth="1"/>
    <col min="63" max="65" width="2.125" style="1" customWidth="1"/>
    <col min="66" max="16384" width="3.625" style="1"/>
  </cols>
  <sheetData>
    <row r="1" spans="2:36" ht="16.5" customHeight="1">
      <c r="B1" s="149" t="s">
        <v>45</v>
      </c>
      <c r="C1" s="149"/>
      <c r="D1" s="149"/>
      <c r="E1" s="149"/>
      <c r="F1" s="149"/>
      <c r="G1" s="149"/>
    </row>
    <row r="2" spans="2:36" ht="17.25" customHeight="1" thickBot="1">
      <c r="B2" s="150"/>
      <c r="C2" s="150"/>
      <c r="D2" s="150"/>
      <c r="E2" s="150"/>
      <c r="F2" s="150"/>
      <c r="G2" s="150"/>
    </row>
    <row r="3" spans="2:36" ht="16.5">
      <c r="B3" s="151" t="s">
        <v>0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 t="s">
        <v>1</v>
      </c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3"/>
    </row>
    <row r="4" spans="2:36" ht="16.5" customHeight="1">
      <c r="B4" s="135" t="s">
        <v>2</v>
      </c>
      <c r="C4" s="136"/>
      <c r="D4" s="136"/>
      <c r="E4" s="136"/>
      <c r="F4" s="136"/>
      <c r="G4" s="137"/>
      <c r="H4" s="148">
        <f>AI25</f>
        <v>192</v>
      </c>
      <c r="I4" s="148"/>
      <c r="J4" s="148"/>
      <c r="K4" s="117">
        <f>H4*10320</f>
        <v>1981440</v>
      </c>
      <c r="L4" s="117"/>
      <c r="M4" s="117"/>
      <c r="N4" s="137" t="s">
        <v>29</v>
      </c>
      <c r="O4" s="142"/>
      <c r="P4" s="142"/>
      <c r="Q4" s="142"/>
      <c r="R4" s="142"/>
      <c r="S4" s="143"/>
      <c r="T4" s="126">
        <v>102600</v>
      </c>
      <c r="U4" s="127"/>
      <c r="V4" s="127"/>
      <c r="W4" s="127"/>
      <c r="X4" s="127"/>
      <c r="Y4" s="144"/>
    </row>
    <row r="5" spans="2:36" ht="16.5" customHeight="1">
      <c r="B5" s="141" t="s">
        <v>3</v>
      </c>
      <c r="C5" s="142"/>
      <c r="D5" s="142"/>
      <c r="E5" s="142"/>
      <c r="F5" s="142"/>
      <c r="G5" s="143"/>
      <c r="H5" s="148">
        <f>AI26</f>
        <v>16</v>
      </c>
      <c r="I5" s="148"/>
      <c r="J5" s="148"/>
      <c r="K5" s="117">
        <f>H5*10320*1.5</f>
        <v>247680</v>
      </c>
      <c r="L5" s="117"/>
      <c r="M5" s="117"/>
      <c r="N5" s="137" t="s">
        <v>30</v>
      </c>
      <c r="O5" s="142"/>
      <c r="P5" s="142"/>
      <c r="Q5" s="142"/>
      <c r="R5" s="142"/>
      <c r="S5" s="143"/>
      <c r="T5" s="126">
        <f>H17*3.595%</f>
        <v>101488.28800000002</v>
      </c>
      <c r="U5" s="127"/>
      <c r="V5" s="127"/>
      <c r="W5" s="127"/>
      <c r="X5" s="127"/>
      <c r="Y5" s="144"/>
    </row>
    <row r="6" spans="2:36" ht="16.5" customHeight="1">
      <c r="B6" s="141" t="s">
        <v>4</v>
      </c>
      <c r="C6" s="142"/>
      <c r="D6" s="142"/>
      <c r="E6" s="142"/>
      <c r="F6" s="142"/>
      <c r="G6" s="143"/>
      <c r="H6" s="148"/>
      <c r="I6" s="148"/>
      <c r="J6" s="148"/>
      <c r="K6" s="117"/>
      <c r="L6" s="117"/>
      <c r="M6" s="117"/>
      <c r="N6" s="137" t="s">
        <v>17</v>
      </c>
      <c r="O6" s="142"/>
      <c r="P6" s="142"/>
      <c r="Q6" s="142"/>
      <c r="R6" s="142"/>
      <c r="S6" s="143"/>
      <c r="T6" s="126">
        <f>T5*13.14%</f>
        <v>13335.561043200003</v>
      </c>
      <c r="U6" s="127"/>
      <c r="V6" s="127"/>
      <c r="W6" s="127"/>
      <c r="X6" s="127"/>
      <c r="Y6" s="144"/>
      <c r="AJ6" s="47"/>
    </row>
    <row r="7" spans="2:36" ht="16.5" customHeight="1">
      <c r="B7" s="141" t="s">
        <v>5</v>
      </c>
      <c r="C7" s="142"/>
      <c r="D7" s="142"/>
      <c r="E7" s="142"/>
      <c r="F7" s="142"/>
      <c r="G7" s="143"/>
      <c r="H7" s="148">
        <f>AI27</f>
        <v>32</v>
      </c>
      <c r="I7" s="148"/>
      <c r="J7" s="148"/>
      <c r="K7" s="117">
        <f>H7*10320*1.5</f>
        <v>495360</v>
      </c>
      <c r="L7" s="117"/>
      <c r="M7" s="117"/>
      <c r="N7" s="137" t="s">
        <v>31</v>
      </c>
      <c r="O7" s="142"/>
      <c r="P7" s="142"/>
      <c r="Q7" s="142"/>
      <c r="R7" s="142"/>
      <c r="S7" s="143"/>
      <c r="T7" s="126">
        <f>H17*0.9%</f>
        <v>25407.360000000004</v>
      </c>
      <c r="U7" s="127"/>
      <c r="V7" s="127"/>
      <c r="W7" s="127"/>
      <c r="X7" s="127"/>
      <c r="Y7" s="144"/>
      <c r="AJ7" s="47"/>
    </row>
    <row r="8" spans="2:36" ht="16.5" customHeight="1">
      <c r="B8" s="141" t="s">
        <v>6</v>
      </c>
      <c r="C8" s="142"/>
      <c r="D8" s="142"/>
      <c r="E8" s="142"/>
      <c r="F8" s="142"/>
      <c r="G8" s="143"/>
      <c r="H8" s="145"/>
      <c r="I8" s="146"/>
      <c r="J8" s="147"/>
      <c r="K8" s="126">
        <f>H8*9860*2</f>
        <v>0</v>
      </c>
      <c r="L8" s="127"/>
      <c r="M8" s="128"/>
      <c r="N8" s="137" t="s">
        <v>32</v>
      </c>
      <c r="O8" s="142"/>
      <c r="P8" s="142"/>
      <c r="Q8" s="142"/>
      <c r="R8" s="142"/>
      <c r="S8" s="143"/>
      <c r="T8" s="126">
        <v>58520</v>
      </c>
      <c r="U8" s="127"/>
      <c r="V8" s="127"/>
      <c r="W8" s="127"/>
      <c r="X8" s="127"/>
      <c r="Y8" s="144"/>
      <c r="AJ8" s="47"/>
    </row>
    <row r="9" spans="2:36" ht="16.5" customHeight="1">
      <c r="B9" s="141" t="s">
        <v>28</v>
      </c>
      <c r="C9" s="142"/>
      <c r="D9" s="142"/>
      <c r="E9" s="142"/>
      <c r="F9" s="142"/>
      <c r="G9" s="143"/>
      <c r="H9" s="145">
        <f>AI29</f>
        <v>0</v>
      </c>
      <c r="I9" s="146"/>
      <c r="J9" s="147"/>
      <c r="K9" s="117"/>
      <c r="L9" s="117"/>
      <c r="M9" s="117"/>
      <c r="N9" s="136" t="s">
        <v>33</v>
      </c>
      <c r="O9" s="136"/>
      <c r="P9" s="136"/>
      <c r="Q9" s="136"/>
      <c r="R9" s="136"/>
      <c r="S9" s="136"/>
      <c r="T9" s="126">
        <f>T8*10%</f>
        <v>5852</v>
      </c>
      <c r="U9" s="127"/>
      <c r="V9" s="127"/>
      <c r="W9" s="127"/>
      <c r="X9" s="127"/>
      <c r="Y9" s="144"/>
      <c r="AJ9" s="9"/>
    </row>
    <row r="10" spans="2:36" ht="16.5" customHeight="1">
      <c r="B10" s="141" t="s">
        <v>35</v>
      </c>
      <c r="C10" s="142"/>
      <c r="D10" s="142"/>
      <c r="E10" s="142"/>
      <c r="F10" s="142"/>
      <c r="G10" s="143"/>
      <c r="H10" s="126">
        <v>82560</v>
      </c>
      <c r="I10" s="127"/>
      <c r="J10" s="127"/>
      <c r="K10" s="127"/>
      <c r="L10" s="127"/>
      <c r="M10" s="128"/>
      <c r="N10" s="136" t="s">
        <v>63</v>
      </c>
      <c r="O10" s="136"/>
      <c r="P10" s="136"/>
      <c r="Q10" s="136"/>
      <c r="R10" s="136"/>
      <c r="S10" s="136"/>
      <c r="T10" s="117">
        <v>2515837</v>
      </c>
      <c r="U10" s="117"/>
      <c r="V10" s="117"/>
      <c r="W10" s="117"/>
      <c r="X10" s="117"/>
      <c r="Y10" s="118"/>
      <c r="Z10" s="2"/>
      <c r="AA10" s="2"/>
    </row>
    <row r="11" spans="2:36" ht="16.5" customHeight="1">
      <c r="B11" s="141" t="s">
        <v>59</v>
      </c>
      <c r="C11" s="142"/>
      <c r="D11" s="142"/>
      <c r="E11" s="142"/>
      <c r="F11" s="142"/>
      <c r="G11" s="143"/>
      <c r="H11" s="126">
        <v>16000</v>
      </c>
      <c r="I11" s="127"/>
      <c r="J11" s="127"/>
      <c r="K11" s="127"/>
      <c r="L11" s="127"/>
      <c r="M11" s="128"/>
      <c r="N11" s="136" t="s">
        <v>77</v>
      </c>
      <c r="O11" s="136"/>
      <c r="P11" s="136"/>
      <c r="Q11" s="136"/>
      <c r="R11" s="136"/>
      <c r="S11" s="136"/>
      <c r="T11" s="126">
        <v>0</v>
      </c>
      <c r="U11" s="127"/>
      <c r="V11" s="127"/>
      <c r="W11" s="127"/>
      <c r="X11" s="127"/>
      <c r="Y11" s="144"/>
      <c r="Z11" s="2"/>
      <c r="AA11" s="2"/>
    </row>
    <row r="12" spans="2:36" ht="16.5">
      <c r="B12" s="135"/>
      <c r="C12" s="136"/>
      <c r="D12" s="136"/>
      <c r="E12" s="136"/>
      <c r="F12" s="136"/>
      <c r="G12" s="137"/>
      <c r="H12" s="117"/>
      <c r="I12" s="117"/>
      <c r="J12" s="117"/>
      <c r="K12" s="117"/>
      <c r="L12" s="117"/>
      <c r="M12" s="117"/>
      <c r="N12" s="138"/>
      <c r="O12" s="138"/>
      <c r="P12" s="138"/>
      <c r="Q12" s="138"/>
      <c r="R12" s="138"/>
      <c r="S12" s="138"/>
      <c r="T12" s="139"/>
      <c r="U12" s="139"/>
      <c r="V12" s="139"/>
      <c r="W12" s="139"/>
      <c r="X12" s="139"/>
      <c r="Y12" s="140"/>
      <c r="Z12" s="2"/>
      <c r="AA12" s="2"/>
    </row>
    <row r="13" spans="2:36" ht="16.5" customHeight="1">
      <c r="B13" s="114"/>
      <c r="C13" s="115"/>
      <c r="D13" s="115"/>
      <c r="E13" s="115"/>
      <c r="F13" s="115"/>
      <c r="G13" s="116"/>
      <c r="H13" s="126"/>
      <c r="I13" s="127"/>
      <c r="J13" s="127"/>
      <c r="K13" s="127"/>
      <c r="L13" s="127"/>
      <c r="M13" s="127"/>
      <c r="N13" s="115"/>
      <c r="O13" s="115"/>
      <c r="P13" s="115"/>
      <c r="Q13" s="115"/>
      <c r="R13" s="115"/>
      <c r="S13" s="115"/>
      <c r="T13" s="117"/>
      <c r="U13" s="117"/>
      <c r="V13" s="117"/>
      <c r="W13" s="117"/>
      <c r="X13" s="117"/>
      <c r="Y13" s="118"/>
      <c r="Z13" s="2"/>
      <c r="AA13" s="2"/>
    </row>
    <row r="14" spans="2:36" ht="16.5">
      <c r="B14" s="124"/>
      <c r="C14" s="125"/>
      <c r="D14" s="125"/>
      <c r="E14" s="125"/>
      <c r="F14" s="125"/>
      <c r="G14" s="125"/>
      <c r="H14" s="126"/>
      <c r="I14" s="127"/>
      <c r="J14" s="127"/>
      <c r="K14" s="127"/>
      <c r="L14" s="127"/>
      <c r="M14" s="128"/>
      <c r="N14" s="129"/>
      <c r="O14" s="130"/>
      <c r="P14" s="130"/>
      <c r="Q14" s="130"/>
      <c r="R14" s="130"/>
      <c r="S14" s="131"/>
      <c r="T14" s="132"/>
      <c r="U14" s="133"/>
      <c r="V14" s="133"/>
      <c r="W14" s="133"/>
      <c r="X14" s="133"/>
      <c r="Y14" s="134"/>
      <c r="Z14" s="2"/>
      <c r="AA14" s="2"/>
    </row>
    <row r="15" spans="2:36" ht="16.5">
      <c r="B15" s="114"/>
      <c r="C15" s="115"/>
      <c r="D15" s="115"/>
      <c r="E15" s="115"/>
      <c r="F15" s="115"/>
      <c r="G15" s="116"/>
      <c r="H15" s="117"/>
      <c r="I15" s="117"/>
      <c r="J15" s="117"/>
      <c r="K15" s="117"/>
      <c r="L15" s="117"/>
      <c r="M15" s="117"/>
      <c r="N15" s="115"/>
      <c r="O15" s="115"/>
      <c r="P15" s="115"/>
      <c r="Q15" s="115"/>
      <c r="R15" s="115"/>
      <c r="S15" s="115"/>
      <c r="T15" s="117"/>
      <c r="U15" s="117"/>
      <c r="V15" s="117"/>
      <c r="W15" s="117"/>
      <c r="X15" s="117"/>
      <c r="Y15" s="118"/>
      <c r="Z15" s="2"/>
      <c r="AA15" s="2"/>
    </row>
    <row r="16" spans="2:36" ht="16.5">
      <c r="B16" s="114"/>
      <c r="C16" s="115"/>
      <c r="D16" s="115"/>
      <c r="E16" s="115"/>
      <c r="F16" s="115"/>
      <c r="G16" s="116"/>
      <c r="H16" s="117"/>
      <c r="I16" s="117"/>
      <c r="J16" s="117"/>
      <c r="K16" s="117"/>
      <c r="L16" s="117"/>
      <c r="M16" s="117"/>
      <c r="N16" s="115" t="s">
        <v>7</v>
      </c>
      <c r="O16" s="115"/>
      <c r="P16" s="115"/>
      <c r="Q16" s="115"/>
      <c r="R16" s="115"/>
      <c r="S16" s="115"/>
      <c r="T16" s="117">
        <f>SUM(T4:Y12)</f>
        <v>2823040.2090432001</v>
      </c>
      <c r="U16" s="117"/>
      <c r="V16" s="117"/>
      <c r="W16" s="117"/>
      <c r="X16" s="117"/>
      <c r="Y16" s="118"/>
      <c r="Z16" s="9"/>
      <c r="AA16" s="9"/>
    </row>
    <row r="17" spans="1:35" ht="17.25" thickBot="1">
      <c r="B17" s="119" t="s">
        <v>8</v>
      </c>
      <c r="C17" s="120"/>
      <c r="D17" s="120"/>
      <c r="E17" s="120"/>
      <c r="F17" s="120"/>
      <c r="G17" s="121"/>
      <c r="H17" s="122">
        <f>SUM(K4,K5,K6,K7,K8,K9,H10,H11,H12,H13,H14,H15,H16)</f>
        <v>2823040</v>
      </c>
      <c r="I17" s="122"/>
      <c r="J17" s="122"/>
      <c r="K17" s="122"/>
      <c r="L17" s="122"/>
      <c r="M17" s="122"/>
      <c r="N17" s="120" t="s">
        <v>9</v>
      </c>
      <c r="O17" s="120"/>
      <c r="P17" s="120"/>
      <c r="Q17" s="120"/>
      <c r="R17" s="120"/>
      <c r="S17" s="120"/>
      <c r="T17" s="122">
        <f>H17-T16</f>
        <v>-0.20904320012778044</v>
      </c>
      <c r="U17" s="122"/>
      <c r="V17" s="122"/>
      <c r="W17" s="122"/>
      <c r="X17" s="122"/>
      <c r="Y17" s="123"/>
      <c r="Z17" s="9"/>
      <c r="AA17" s="9"/>
      <c r="AD17" s="104"/>
      <c r="AE17" s="104"/>
    </row>
    <row r="18" spans="1:35" ht="21.75" customHeight="1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9"/>
      <c r="AA18" s="9"/>
    </row>
    <row r="19" spans="1:35" ht="16.5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O19" s="3"/>
      <c r="P19" s="106" t="s">
        <v>10</v>
      </c>
      <c r="Q19" s="104"/>
      <c r="R19" s="104"/>
      <c r="S19" s="104"/>
      <c r="T19" s="107" t="s">
        <v>56</v>
      </c>
      <c r="U19" s="107"/>
      <c r="V19" s="107"/>
      <c r="W19" s="107"/>
      <c r="Z19" s="9"/>
      <c r="AA19" s="4"/>
    </row>
    <row r="20" spans="1:35" ht="16.5"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P20" s="104"/>
      <c r="Q20" s="104"/>
      <c r="R20" s="104"/>
      <c r="S20" s="104"/>
      <c r="T20" s="107"/>
      <c r="U20" s="107"/>
      <c r="V20" s="107"/>
      <c r="W20" s="107"/>
      <c r="Z20" s="9"/>
      <c r="AA20" s="4"/>
    </row>
    <row r="21" spans="1:35" ht="17.25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108" t="s">
        <v>26</v>
      </c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9"/>
      <c r="AA21" s="9"/>
    </row>
    <row r="22" spans="1:35" s="12" customFormat="1" ht="17.25" thickBot="1">
      <c r="X22" s="13"/>
      <c r="AD22" s="109"/>
      <c r="AE22" s="109"/>
      <c r="AF22" s="109"/>
      <c r="AG22" s="109"/>
      <c r="AH22" s="14"/>
    </row>
    <row r="23" spans="1:35" ht="16.5" customHeight="1">
      <c r="A23" s="110"/>
      <c r="B23" s="111" t="s">
        <v>11</v>
      </c>
      <c r="C23" s="112" t="s">
        <v>12</v>
      </c>
      <c r="D23" s="64">
        <v>1</v>
      </c>
      <c r="E23" s="57">
        <v>2</v>
      </c>
      <c r="F23" s="57">
        <v>3</v>
      </c>
      <c r="G23" s="57">
        <v>4</v>
      </c>
      <c r="H23" s="57">
        <v>5</v>
      </c>
      <c r="I23" s="57">
        <v>6</v>
      </c>
      <c r="J23" s="74">
        <v>7</v>
      </c>
      <c r="K23" s="69">
        <v>8</v>
      </c>
      <c r="L23" s="57">
        <v>9</v>
      </c>
      <c r="M23" s="57">
        <v>10</v>
      </c>
      <c r="N23" s="57">
        <v>11</v>
      </c>
      <c r="O23" s="57">
        <v>12</v>
      </c>
      <c r="P23" s="57">
        <v>13</v>
      </c>
      <c r="Q23" s="74">
        <v>14</v>
      </c>
      <c r="R23" s="69">
        <v>15</v>
      </c>
      <c r="S23" s="69">
        <v>16</v>
      </c>
      <c r="T23" s="69">
        <v>17</v>
      </c>
      <c r="U23" s="69">
        <v>18</v>
      </c>
      <c r="V23" s="57">
        <v>19</v>
      </c>
      <c r="W23" s="57">
        <v>20</v>
      </c>
      <c r="X23" s="74">
        <v>21</v>
      </c>
      <c r="Y23" s="69">
        <v>22</v>
      </c>
      <c r="Z23" s="57">
        <v>23</v>
      </c>
      <c r="AA23" s="57">
        <v>24</v>
      </c>
      <c r="AB23" s="85">
        <v>25</v>
      </c>
      <c r="AC23" s="57">
        <v>26</v>
      </c>
      <c r="AD23" s="57">
        <v>27</v>
      </c>
      <c r="AE23" s="74">
        <v>28</v>
      </c>
      <c r="AF23" s="57">
        <v>29</v>
      </c>
      <c r="AG23" s="57">
        <v>30</v>
      </c>
      <c r="AH23" s="79">
        <v>31</v>
      </c>
      <c r="AI23" s="97" t="s">
        <v>18</v>
      </c>
    </row>
    <row r="24" spans="1:35" ht="16.5" customHeight="1" thickBot="1">
      <c r="A24" s="110"/>
      <c r="B24" s="103"/>
      <c r="C24" s="113"/>
      <c r="D24" s="65" t="s">
        <v>72</v>
      </c>
      <c r="E24" s="58" t="s">
        <v>73</v>
      </c>
      <c r="F24" s="58" t="s">
        <v>19</v>
      </c>
      <c r="G24" s="58" t="s">
        <v>20</v>
      </c>
      <c r="H24" s="58" t="s">
        <v>21</v>
      </c>
      <c r="I24" s="58" t="s">
        <v>22</v>
      </c>
      <c r="J24" s="75" t="s">
        <v>23</v>
      </c>
      <c r="K24" s="70" t="s">
        <v>24</v>
      </c>
      <c r="L24" s="58" t="s">
        <v>25</v>
      </c>
      <c r="M24" s="58" t="s">
        <v>19</v>
      </c>
      <c r="N24" s="58" t="s">
        <v>20</v>
      </c>
      <c r="O24" s="58" t="s">
        <v>21</v>
      </c>
      <c r="P24" s="58" t="s">
        <v>22</v>
      </c>
      <c r="Q24" s="75" t="s">
        <v>23</v>
      </c>
      <c r="R24" s="70" t="s">
        <v>24</v>
      </c>
      <c r="S24" s="70" t="s">
        <v>25</v>
      </c>
      <c r="T24" s="70" t="s">
        <v>19</v>
      </c>
      <c r="U24" s="70" t="s">
        <v>20</v>
      </c>
      <c r="V24" s="58" t="s">
        <v>21</v>
      </c>
      <c r="W24" s="58" t="s">
        <v>22</v>
      </c>
      <c r="X24" s="75" t="s">
        <v>23</v>
      </c>
      <c r="Y24" s="70" t="s">
        <v>24</v>
      </c>
      <c r="Z24" s="58" t="s">
        <v>25</v>
      </c>
      <c r="AA24" s="58" t="s">
        <v>19</v>
      </c>
      <c r="AB24" s="58" t="s">
        <v>20</v>
      </c>
      <c r="AC24" s="58" t="s">
        <v>21</v>
      </c>
      <c r="AD24" s="58" t="s">
        <v>22</v>
      </c>
      <c r="AE24" s="75" t="s">
        <v>23</v>
      </c>
      <c r="AF24" s="58" t="s">
        <v>21</v>
      </c>
      <c r="AG24" s="58" t="s">
        <v>22</v>
      </c>
      <c r="AH24" s="80" t="s">
        <v>47</v>
      </c>
      <c r="AI24" s="98"/>
    </row>
    <row r="25" spans="1:35" ht="16.5">
      <c r="A25" s="99"/>
      <c r="B25" s="100" t="str">
        <f>T19</f>
        <v>임연숙</v>
      </c>
      <c r="C25" s="34" t="s">
        <v>13</v>
      </c>
      <c r="D25" s="66">
        <v>8</v>
      </c>
      <c r="E25" s="59">
        <v>8</v>
      </c>
      <c r="F25" s="59">
        <v>8</v>
      </c>
      <c r="G25" s="59">
        <v>8</v>
      </c>
      <c r="H25" s="59">
        <v>8</v>
      </c>
      <c r="I25" s="59">
        <v>8</v>
      </c>
      <c r="J25" s="76"/>
      <c r="K25" s="71">
        <v>8</v>
      </c>
      <c r="L25" s="59">
        <v>8</v>
      </c>
      <c r="M25" s="59">
        <v>8</v>
      </c>
      <c r="N25" s="59">
        <v>8</v>
      </c>
      <c r="O25" s="59">
        <v>8</v>
      </c>
      <c r="P25" s="59">
        <v>8</v>
      </c>
      <c r="Q25" s="76"/>
      <c r="R25" s="71">
        <v>8</v>
      </c>
      <c r="S25" s="71">
        <v>8</v>
      </c>
      <c r="T25" s="71">
        <v>8</v>
      </c>
      <c r="U25" s="71">
        <v>8</v>
      </c>
      <c r="V25" s="59">
        <v>8</v>
      </c>
      <c r="W25" s="59">
        <v>8</v>
      </c>
      <c r="X25" s="76"/>
      <c r="Y25" s="71">
        <v>8</v>
      </c>
      <c r="Z25" s="59">
        <v>8</v>
      </c>
      <c r="AA25" s="59">
        <v>8</v>
      </c>
      <c r="AB25" s="59">
        <v>8</v>
      </c>
      <c r="AC25" s="59">
        <v>8</v>
      </c>
      <c r="AD25" s="59">
        <v>8</v>
      </c>
      <c r="AE25" s="90"/>
      <c r="AF25" s="88"/>
      <c r="AG25" s="59"/>
      <c r="AH25" s="81"/>
      <c r="AI25" s="51">
        <f>SUM(D25:AH25)</f>
        <v>192</v>
      </c>
    </row>
    <row r="26" spans="1:35" ht="16.5">
      <c r="A26" s="99"/>
      <c r="B26" s="101"/>
      <c r="C26" s="35" t="s">
        <v>14</v>
      </c>
      <c r="D26" s="67"/>
      <c r="E26" s="60">
        <v>2</v>
      </c>
      <c r="F26" s="60">
        <v>2</v>
      </c>
      <c r="G26" s="60">
        <v>2</v>
      </c>
      <c r="H26" s="60">
        <v>2</v>
      </c>
      <c r="I26" s="60"/>
      <c r="J26" s="77"/>
      <c r="K26" s="72"/>
      <c r="L26" s="60">
        <v>2</v>
      </c>
      <c r="M26" s="60">
        <v>2</v>
      </c>
      <c r="N26" s="60"/>
      <c r="O26" s="60">
        <v>2</v>
      </c>
      <c r="P26" s="60"/>
      <c r="Q26" s="77"/>
      <c r="R26" s="72"/>
      <c r="S26" s="72"/>
      <c r="T26" s="72"/>
      <c r="U26" s="72"/>
      <c r="V26" s="60"/>
      <c r="W26" s="60"/>
      <c r="X26" s="77"/>
      <c r="Y26" s="72"/>
      <c r="Z26" s="60"/>
      <c r="AA26" s="60"/>
      <c r="AB26" s="60"/>
      <c r="AC26" s="60"/>
      <c r="AD26" s="60">
        <v>2</v>
      </c>
      <c r="AE26" s="91"/>
      <c r="AF26" s="89"/>
      <c r="AG26" s="60"/>
      <c r="AH26" s="82"/>
      <c r="AI26" s="52">
        <f>SUM(D26:AH26)</f>
        <v>16</v>
      </c>
    </row>
    <row r="27" spans="1:35" ht="16.5">
      <c r="A27" s="99"/>
      <c r="B27" s="101"/>
      <c r="C27" s="35" t="s">
        <v>15</v>
      </c>
      <c r="D27" s="67"/>
      <c r="E27" s="60"/>
      <c r="F27" s="60"/>
      <c r="G27" s="60"/>
      <c r="H27" s="60"/>
      <c r="I27" s="60"/>
      <c r="J27" s="77">
        <v>8</v>
      </c>
      <c r="K27" s="72"/>
      <c r="L27" s="60"/>
      <c r="M27" s="60"/>
      <c r="N27" s="60"/>
      <c r="O27" s="60"/>
      <c r="P27" s="60"/>
      <c r="Q27" s="77">
        <v>8</v>
      </c>
      <c r="R27" s="72"/>
      <c r="S27" s="72"/>
      <c r="T27" s="72"/>
      <c r="U27" s="72"/>
      <c r="V27" s="60"/>
      <c r="W27" s="60"/>
      <c r="X27" s="77">
        <v>8</v>
      </c>
      <c r="Y27" s="72"/>
      <c r="Z27" s="60"/>
      <c r="AA27" s="60"/>
      <c r="AB27" s="60"/>
      <c r="AC27" s="60"/>
      <c r="AD27" s="60"/>
      <c r="AE27" s="91">
        <v>8</v>
      </c>
      <c r="AF27" s="89"/>
      <c r="AG27" s="60"/>
      <c r="AH27" s="82"/>
      <c r="AI27" s="52">
        <f>SUM(D27:AH27)</f>
        <v>32</v>
      </c>
    </row>
    <row r="28" spans="1:35" ht="16.5">
      <c r="A28" s="99"/>
      <c r="B28" s="102"/>
      <c r="C28" s="15" t="s">
        <v>27</v>
      </c>
      <c r="D28" s="67"/>
      <c r="E28" s="60"/>
      <c r="F28" s="60"/>
      <c r="G28" s="60"/>
      <c r="H28" s="60"/>
      <c r="I28" s="60"/>
      <c r="J28" s="77"/>
      <c r="K28" s="72"/>
      <c r="L28" s="60"/>
      <c r="M28" s="60"/>
      <c r="N28" s="60"/>
      <c r="O28" s="60"/>
      <c r="P28" s="60"/>
      <c r="Q28" s="77"/>
      <c r="R28" s="72"/>
      <c r="S28" s="72"/>
      <c r="T28" s="72"/>
      <c r="U28" s="72"/>
      <c r="V28" s="60"/>
      <c r="W28" s="60"/>
      <c r="X28" s="77"/>
      <c r="Y28" s="72"/>
      <c r="Z28" s="60"/>
      <c r="AA28" s="60"/>
      <c r="AB28" s="60"/>
      <c r="AC28" s="60"/>
      <c r="AD28" s="60"/>
      <c r="AE28" s="91"/>
      <c r="AF28" s="89"/>
      <c r="AG28" s="60"/>
      <c r="AH28" s="82"/>
      <c r="AI28" s="52">
        <f>SUM(D28:AH28)</f>
        <v>0</v>
      </c>
    </row>
    <row r="29" spans="1:35" ht="17.25" thickBot="1">
      <c r="A29" s="99"/>
      <c r="B29" s="103"/>
      <c r="C29" s="46" t="s">
        <v>34</v>
      </c>
      <c r="D29" s="68"/>
      <c r="E29" s="61"/>
      <c r="F29" s="61"/>
      <c r="G29" s="61"/>
      <c r="H29" s="61"/>
      <c r="I29" s="61"/>
      <c r="J29" s="78"/>
      <c r="K29" s="73"/>
      <c r="L29" s="61"/>
      <c r="M29" s="61"/>
      <c r="N29" s="61"/>
      <c r="O29" s="61"/>
      <c r="P29" s="61"/>
      <c r="Q29" s="78"/>
      <c r="R29" s="73"/>
      <c r="S29" s="73"/>
      <c r="T29" s="73"/>
      <c r="U29" s="73"/>
      <c r="V29" s="61"/>
      <c r="W29" s="61"/>
      <c r="X29" s="78"/>
      <c r="Y29" s="73"/>
      <c r="Z29" s="61"/>
      <c r="AA29" s="61"/>
      <c r="AB29" s="86"/>
      <c r="AC29" s="61"/>
      <c r="AD29" s="61"/>
      <c r="AE29" s="93"/>
      <c r="AF29" s="63"/>
      <c r="AG29" s="61"/>
      <c r="AH29" s="83"/>
      <c r="AI29" s="53">
        <f>SUM(D29:AH29)</f>
        <v>0</v>
      </c>
    </row>
    <row r="30" spans="1:35" ht="18" customHeight="1"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8"/>
      <c r="AE30" s="18"/>
      <c r="AF30" s="18"/>
      <c r="AG30" s="18"/>
      <c r="AH30" s="18"/>
      <c r="AI30" s="17"/>
    </row>
  </sheetData>
  <mergeCells count="77">
    <mergeCell ref="B1:G2"/>
    <mergeCell ref="B3:M3"/>
    <mergeCell ref="N3:Y3"/>
    <mergeCell ref="B4:G4"/>
    <mergeCell ref="H4:J4"/>
    <mergeCell ref="K4:M4"/>
    <mergeCell ref="N4:S4"/>
    <mergeCell ref="T4:Y4"/>
    <mergeCell ref="B5:G5"/>
    <mergeCell ref="H5:J5"/>
    <mergeCell ref="K5:M5"/>
    <mergeCell ref="N5:S5"/>
    <mergeCell ref="T5:Y5"/>
    <mergeCell ref="B6:G6"/>
    <mergeCell ref="H6:J6"/>
    <mergeCell ref="K6:M6"/>
    <mergeCell ref="N6:S6"/>
    <mergeCell ref="T6:Y6"/>
    <mergeCell ref="B7:G7"/>
    <mergeCell ref="H7:J7"/>
    <mergeCell ref="K7:M7"/>
    <mergeCell ref="N7:S7"/>
    <mergeCell ref="T7:Y7"/>
    <mergeCell ref="B9:G9"/>
    <mergeCell ref="H9:J9"/>
    <mergeCell ref="K9:M9"/>
    <mergeCell ref="N9:S9"/>
    <mergeCell ref="T9:Y9"/>
    <mergeCell ref="B8:G8"/>
    <mergeCell ref="H8:J8"/>
    <mergeCell ref="K8:M8"/>
    <mergeCell ref="N8:S8"/>
    <mergeCell ref="T8:Y8"/>
    <mergeCell ref="B10:G10"/>
    <mergeCell ref="H10:M10"/>
    <mergeCell ref="N10:S10"/>
    <mergeCell ref="T10:Y10"/>
    <mergeCell ref="B11:G11"/>
    <mergeCell ref="H11:M11"/>
    <mergeCell ref="N11:S11"/>
    <mergeCell ref="T11:Y11"/>
    <mergeCell ref="B12:G12"/>
    <mergeCell ref="H12:M12"/>
    <mergeCell ref="N12:S12"/>
    <mergeCell ref="T12:Y12"/>
    <mergeCell ref="B13:G13"/>
    <mergeCell ref="H13:M13"/>
    <mergeCell ref="N13:S13"/>
    <mergeCell ref="T13:Y13"/>
    <mergeCell ref="B14:G14"/>
    <mergeCell ref="H14:M14"/>
    <mergeCell ref="N14:S14"/>
    <mergeCell ref="T14:Y14"/>
    <mergeCell ref="B15:G15"/>
    <mergeCell ref="H15:M15"/>
    <mergeCell ref="N15:S15"/>
    <mergeCell ref="T15:Y15"/>
    <mergeCell ref="B16:G16"/>
    <mergeCell ref="H16:M16"/>
    <mergeCell ref="N16:S16"/>
    <mergeCell ref="T16:Y16"/>
    <mergeCell ref="B17:G17"/>
    <mergeCell ref="H17:M17"/>
    <mergeCell ref="N17:S17"/>
    <mergeCell ref="T17:Y17"/>
    <mergeCell ref="AI23:AI24"/>
    <mergeCell ref="A25:A29"/>
    <mergeCell ref="B25:B29"/>
    <mergeCell ref="AD17:AE17"/>
    <mergeCell ref="N18:Y18"/>
    <mergeCell ref="P19:S20"/>
    <mergeCell ref="T19:W20"/>
    <mergeCell ref="N21:Y21"/>
    <mergeCell ref="AD22:AG22"/>
    <mergeCell ref="A23:A24"/>
    <mergeCell ref="B23:B24"/>
    <mergeCell ref="C23:C24"/>
  </mergeCells>
  <phoneticPr fontId="2" type="noConversion"/>
  <pageMargins left="0.7" right="0.7" top="0.75" bottom="0.75" header="0.3" footer="0.3"/>
  <pageSetup paperSize="9" scale="73" orientation="landscape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J30"/>
  <sheetViews>
    <sheetView showGridLines="0" showZeros="0" zoomScale="90" zoomScaleNormal="90" workbookViewId="0">
      <selection activeCell="S35" sqref="S35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9" customWidth="1"/>
    <col min="32" max="34" width="4.625" style="9" hidden="1" customWidth="1"/>
    <col min="35" max="35" width="6" style="1" customWidth="1"/>
    <col min="36" max="36" width="4.25" style="1" customWidth="1"/>
    <col min="37" max="38" width="3.75" style="1" customWidth="1"/>
    <col min="39" max="62" width="3.25" style="1" customWidth="1"/>
    <col min="63" max="65" width="2.125" style="1" customWidth="1"/>
    <col min="66" max="16384" width="3.625" style="1"/>
  </cols>
  <sheetData>
    <row r="1" spans="2:36" ht="16.5" customHeight="1">
      <c r="B1" s="149" t="s">
        <v>44</v>
      </c>
      <c r="C1" s="149"/>
      <c r="D1" s="149"/>
      <c r="E1" s="149"/>
      <c r="F1" s="149"/>
      <c r="G1" s="149"/>
    </row>
    <row r="2" spans="2:36" ht="17.25" customHeight="1" thickBot="1">
      <c r="B2" s="150"/>
      <c r="C2" s="150"/>
      <c r="D2" s="150"/>
      <c r="E2" s="150"/>
      <c r="F2" s="150"/>
      <c r="G2" s="150"/>
    </row>
    <row r="3" spans="2:36" ht="16.5">
      <c r="B3" s="151" t="s">
        <v>0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 t="s">
        <v>1</v>
      </c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3"/>
    </row>
    <row r="4" spans="2:36" ht="16.5" customHeight="1">
      <c r="B4" s="135" t="s">
        <v>2</v>
      </c>
      <c r="C4" s="136"/>
      <c r="D4" s="136"/>
      <c r="E4" s="136"/>
      <c r="F4" s="136"/>
      <c r="G4" s="137"/>
      <c r="H4" s="148">
        <f>AI25</f>
        <v>190</v>
      </c>
      <c r="I4" s="148"/>
      <c r="J4" s="148"/>
      <c r="K4" s="117">
        <f>H4*10320</f>
        <v>1960800</v>
      </c>
      <c r="L4" s="117"/>
      <c r="M4" s="117"/>
      <c r="N4" s="137" t="s">
        <v>29</v>
      </c>
      <c r="O4" s="142"/>
      <c r="P4" s="142"/>
      <c r="Q4" s="142"/>
      <c r="R4" s="142"/>
      <c r="S4" s="143"/>
      <c r="T4" s="126">
        <v>99750</v>
      </c>
      <c r="U4" s="127"/>
      <c r="V4" s="127"/>
      <c r="W4" s="127"/>
      <c r="X4" s="127"/>
      <c r="Y4" s="144"/>
    </row>
    <row r="5" spans="2:36" ht="16.5" customHeight="1">
      <c r="B5" s="141" t="s">
        <v>3</v>
      </c>
      <c r="C5" s="142"/>
      <c r="D5" s="142"/>
      <c r="E5" s="142"/>
      <c r="F5" s="142"/>
      <c r="G5" s="143"/>
      <c r="H5" s="148">
        <f>AI26</f>
        <v>12</v>
      </c>
      <c r="I5" s="148"/>
      <c r="J5" s="148"/>
      <c r="K5" s="117">
        <f>H5*10320*1.5</f>
        <v>185760</v>
      </c>
      <c r="L5" s="117"/>
      <c r="M5" s="117"/>
      <c r="N5" s="137" t="s">
        <v>30</v>
      </c>
      <c r="O5" s="142"/>
      <c r="P5" s="142"/>
      <c r="Q5" s="142"/>
      <c r="R5" s="142"/>
      <c r="S5" s="143"/>
      <c r="T5" s="126">
        <f>H17*3.595%</f>
        <v>93893.491000000009</v>
      </c>
      <c r="U5" s="127"/>
      <c r="V5" s="127"/>
      <c r="W5" s="127"/>
      <c r="X5" s="127"/>
      <c r="Y5" s="144"/>
    </row>
    <row r="6" spans="2:36" ht="16.5" customHeight="1">
      <c r="B6" s="141" t="s">
        <v>4</v>
      </c>
      <c r="C6" s="142"/>
      <c r="D6" s="142"/>
      <c r="E6" s="142"/>
      <c r="F6" s="142"/>
      <c r="G6" s="143"/>
      <c r="H6" s="148"/>
      <c r="I6" s="148"/>
      <c r="J6" s="148"/>
      <c r="K6" s="117"/>
      <c r="L6" s="117"/>
      <c r="M6" s="117"/>
      <c r="N6" s="137" t="s">
        <v>17</v>
      </c>
      <c r="O6" s="142"/>
      <c r="P6" s="142"/>
      <c r="Q6" s="142"/>
      <c r="R6" s="142"/>
      <c r="S6" s="143"/>
      <c r="T6" s="126">
        <f>T5*13.14%</f>
        <v>12337.604717400003</v>
      </c>
      <c r="U6" s="127"/>
      <c r="V6" s="127"/>
      <c r="W6" s="127"/>
      <c r="X6" s="127"/>
      <c r="Y6" s="144"/>
      <c r="AJ6" s="47"/>
    </row>
    <row r="7" spans="2:36" ht="16.5" customHeight="1">
      <c r="B7" s="141" t="s">
        <v>5</v>
      </c>
      <c r="C7" s="142"/>
      <c r="D7" s="142"/>
      <c r="E7" s="142"/>
      <c r="F7" s="142"/>
      <c r="G7" s="143"/>
      <c r="H7" s="148">
        <f>AI27</f>
        <v>24</v>
      </c>
      <c r="I7" s="148"/>
      <c r="J7" s="148"/>
      <c r="K7" s="117">
        <f>H7*10320*1.5</f>
        <v>371520</v>
      </c>
      <c r="L7" s="117"/>
      <c r="M7" s="117"/>
      <c r="N7" s="137" t="s">
        <v>31</v>
      </c>
      <c r="O7" s="142"/>
      <c r="P7" s="142"/>
      <c r="Q7" s="142"/>
      <c r="R7" s="142"/>
      <c r="S7" s="143"/>
      <c r="T7" s="126">
        <f>H17*0.9%</f>
        <v>23506.020000000004</v>
      </c>
      <c r="U7" s="127"/>
      <c r="V7" s="127"/>
      <c r="W7" s="127"/>
      <c r="X7" s="127"/>
      <c r="Y7" s="144"/>
      <c r="AJ7" s="47"/>
    </row>
    <row r="8" spans="2:36" ht="16.5" customHeight="1">
      <c r="B8" s="141" t="s">
        <v>6</v>
      </c>
      <c r="C8" s="142"/>
      <c r="D8" s="142"/>
      <c r="E8" s="142"/>
      <c r="F8" s="142"/>
      <c r="G8" s="143"/>
      <c r="H8" s="145"/>
      <c r="I8" s="146"/>
      <c r="J8" s="147"/>
      <c r="K8" s="126">
        <f>H8*9860*2</f>
        <v>0</v>
      </c>
      <c r="L8" s="127"/>
      <c r="M8" s="128"/>
      <c r="N8" s="137" t="s">
        <v>32</v>
      </c>
      <c r="O8" s="142"/>
      <c r="P8" s="142"/>
      <c r="Q8" s="142"/>
      <c r="R8" s="142"/>
      <c r="S8" s="143"/>
      <c r="T8" s="126">
        <v>40540</v>
      </c>
      <c r="U8" s="127"/>
      <c r="V8" s="127"/>
      <c r="W8" s="127"/>
      <c r="X8" s="127"/>
      <c r="Y8" s="144"/>
      <c r="AJ8" s="47"/>
    </row>
    <row r="9" spans="2:36" ht="16.5" customHeight="1">
      <c r="B9" s="141" t="s">
        <v>28</v>
      </c>
      <c r="C9" s="142"/>
      <c r="D9" s="142"/>
      <c r="E9" s="142"/>
      <c r="F9" s="142"/>
      <c r="G9" s="143"/>
      <c r="H9" s="145">
        <f>AI29</f>
        <v>0</v>
      </c>
      <c r="I9" s="146"/>
      <c r="J9" s="147"/>
      <c r="K9" s="117"/>
      <c r="L9" s="117"/>
      <c r="M9" s="117"/>
      <c r="N9" s="136" t="s">
        <v>33</v>
      </c>
      <c r="O9" s="136"/>
      <c r="P9" s="136"/>
      <c r="Q9" s="136"/>
      <c r="R9" s="136"/>
      <c r="S9" s="136"/>
      <c r="T9" s="126">
        <f>T8*10%</f>
        <v>4054</v>
      </c>
      <c r="U9" s="127"/>
      <c r="V9" s="127"/>
      <c r="W9" s="127"/>
      <c r="X9" s="127"/>
      <c r="Y9" s="144"/>
      <c r="AJ9" s="9"/>
    </row>
    <row r="10" spans="2:36" ht="16.5" customHeight="1">
      <c r="B10" s="141" t="s">
        <v>36</v>
      </c>
      <c r="C10" s="142"/>
      <c r="D10" s="142"/>
      <c r="E10" s="142"/>
      <c r="F10" s="142"/>
      <c r="G10" s="143"/>
      <c r="H10" s="126">
        <v>81700</v>
      </c>
      <c r="I10" s="127"/>
      <c r="J10" s="127"/>
      <c r="K10" s="127"/>
      <c r="L10" s="127"/>
      <c r="M10" s="128"/>
      <c r="N10" s="136" t="s">
        <v>65</v>
      </c>
      <c r="O10" s="136"/>
      <c r="P10" s="136"/>
      <c r="Q10" s="136"/>
      <c r="R10" s="136"/>
      <c r="S10" s="136"/>
      <c r="T10" s="117">
        <v>2410689</v>
      </c>
      <c r="U10" s="117"/>
      <c r="V10" s="117"/>
      <c r="W10" s="117"/>
      <c r="X10" s="117"/>
      <c r="Y10" s="118"/>
      <c r="Z10" s="2"/>
      <c r="AA10" s="2"/>
    </row>
    <row r="11" spans="2:36" ht="16.5" customHeight="1">
      <c r="B11" s="141" t="s">
        <v>61</v>
      </c>
      <c r="C11" s="142"/>
      <c r="D11" s="142"/>
      <c r="E11" s="142"/>
      <c r="F11" s="142"/>
      <c r="G11" s="143"/>
      <c r="H11" s="126">
        <v>12000</v>
      </c>
      <c r="I11" s="127"/>
      <c r="J11" s="127"/>
      <c r="K11" s="127"/>
      <c r="L11" s="127"/>
      <c r="M11" s="128"/>
      <c r="N11" s="136" t="s">
        <v>77</v>
      </c>
      <c r="O11" s="136"/>
      <c r="P11" s="136"/>
      <c r="Q11" s="136"/>
      <c r="R11" s="136"/>
      <c r="S11" s="136"/>
      <c r="T11" s="126">
        <v>-72990</v>
      </c>
      <c r="U11" s="127"/>
      <c r="V11" s="127"/>
      <c r="W11" s="127"/>
      <c r="X11" s="127"/>
      <c r="Y11" s="144"/>
      <c r="Z11" s="2"/>
      <c r="AA11" s="2"/>
    </row>
    <row r="12" spans="2:36" ht="16.5">
      <c r="B12" s="135"/>
      <c r="C12" s="136"/>
      <c r="D12" s="136"/>
      <c r="E12" s="136"/>
      <c r="F12" s="136"/>
      <c r="G12" s="137"/>
      <c r="H12" s="117"/>
      <c r="I12" s="117"/>
      <c r="J12" s="117"/>
      <c r="K12" s="117"/>
      <c r="L12" s="117"/>
      <c r="M12" s="117"/>
      <c r="N12" s="138"/>
      <c r="O12" s="138"/>
      <c r="P12" s="138"/>
      <c r="Q12" s="138"/>
      <c r="R12" s="138"/>
      <c r="S12" s="138"/>
      <c r="T12" s="139"/>
      <c r="U12" s="139"/>
      <c r="V12" s="139"/>
      <c r="W12" s="139"/>
      <c r="X12" s="139"/>
      <c r="Y12" s="140"/>
      <c r="Z12" s="2"/>
      <c r="AA12" s="2"/>
    </row>
    <row r="13" spans="2:36" ht="17.25" customHeight="1">
      <c r="B13" s="114"/>
      <c r="C13" s="115"/>
      <c r="D13" s="115"/>
      <c r="E13" s="115"/>
      <c r="F13" s="115"/>
      <c r="G13" s="116"/>
      <c r="H13" s="126"/>
      <c r="I13" s="127"/>
      <c r="J13" s="127"/>
      <c r="K13" s="127"/>
      <c r="L13" s="127"/>
      <c r="M13" s="127"/>
      <c r="N13" s="115"/>
      <c r="O13" s="115"/>
      <c r="P13" s="115"/>
      <c r="Q13" s="115"/>
      <c r="R13" s="115"/>
      <c r="S13" s="115"/>
      <c r="T13" s="117"/>
      <c r="U13" s="117"/>
      <c r="V13" s="117"/>
      <c r="W13" s="117"/>
      <c r="X13" s="117"/>
      <c r="Y13" s="118"/>
      <c r="Z13" s="2"/>
      <c r="AA13" s="2"/>
    </row>
    <row r="14" spans="2:36" ht="16.5">
      <c r="B14" s="124"/>
      <c r="C14" s="125"/>
      <c r="D14" s="125"/>
      <c r="E14" s="125"/>
      <c r="F14" s="125"/>
      <c r="G14" s="125"/>
      <c r="H14" s="126"/>
      <c r="I14" s="127"/>
      <c r="J14" s="127"/>
      <c r="K14" s="127"/>
      <c r="L14" s="127"/>
      <c r="M14" s="128"/>
      <c r="N14" s="129"/>
      <c r="O14" s="130"/>
      <c r="P14" s="130"/>
      <c r="Q14" s="130"/>
      <c r="R14" s="130"/>
      <c r="S14" s="131"/>
      <c r="T14" s="132"/>
      <c r="U14" s="133"/>
      <c r="V14" s="133"/>
      <c r="W14" s="133"/>
      <c r="X14" s="133"/>
      <c r="Y14" s="134"/>
      <c r="Z14" s="2"/>
      <c r="AA14" s="2"/>
    </row>
    <row r="15" spans="2:36" ht="16.5">
      <c r="B15" s="114"/>
      <c r="C15" s="115"/>
      <c r="D15" s="115"/>
      <c r="E15" s="115"/>
      <c r="F15" s="115"/>
      <c r="G15" s="116"/>
      <c r="H15" s="117"/>
      <c r="I15" s="117"/>
      <c r="J15" s="117"/>
      <c r="K15" s="117"/>
      <c r="L15" s="117"/>
      <c r="M15" s="117"/>
      <c r="N15" s="115"/>
      <c r="O15" s="115"/>
      <c r="P15" s="115"/>
      <c r="Q15" s="115"/>
      <c r="R15" s="115"/>
      <c r="S15" s="115"/>
      <c r="T15" s="117"/>
      <c r="U15" s="117"/>
      <c r="V15" s="117"/>
      <c r="W15" s="117"/>
      <c r="X15" s="117"/>
      <c r="Y15" s="118"/>
      <c r="Z15" s="2"/>
      <c r="AA15" s="2"/>
    </row>
    <row r="16" spans="2:36" ht="16.5">
      <c r="B16" s="114"/>
      <c r="C16" s="115"/>
      <c r="D16" s="115"/>
      <c r="E16" s="115"/>
      <c r="F16" s="115"/>
      <c r="G16" s="116"/>
      <c r="H16" s="117"/>
      <c r="I16" s="117"/>
      <c r="J16" s="117"/>
      <c r="K16" s="117"/>
      <c r="L16" s="117"/>
      <c r="M16" s="117"/>
      <c r="N16" s="115" t="s">
        <v>7</v>
      </c>
      <c r="O16" s="115"/>
      <c r="P16" s="115"/>
      <c r="Q16" s="115"/>
      <c r="R16" s="115"/>
      <c r="S16" s="115"/>
      <c r="T16" s="117">
        <f>SUM(T4:Y12)</f>
        <v>2611780.1157173999</v>
      </c>
      <c r="U16" s="117"/>
      <c r="V16" s="117"/>
      <c r="W16" s="117"/>
      <c r="X16" s="117"/>
      <c r="Y16" s="118"/>
      <c r="Z16" s="9"/>
      <c r="AA16" s="9"/>
    </row>
    <row r="17" spans="1:35" ht="17.25" thickBot="1">
      <c r="B17" s="119" t="s">
        <v>8</v>
      </c>
      <c r="C17" s="120"/>
      <c r="D17" s="120"/>
      <c r="E17" s="120"/>
      <c r="F17" s="120"/>
      <c r="G17" s="121"/>
      <c r="H17" s="122">
        <f>SUM(K4,K5,K6,K7,K8,K9,H10,H11,H12,H13,H14,H15,H16)</f>
        <v>2611780</v>
      </c>
      <c r="I17" s="122"/>
      <c r="J17" s="122"/>
      <c r="K17" s="122"/>
      <c r="L17" s="122"/>
      <c r="M17" s="122"/>
      <c r="N17" s="120" t="s">
        <v>9</v>
      </c>
      <c r="O17" s="120"/>
      <c r="P17" s="120"/>
      <c r="Q17" s="120"/>
      <c r="R17" s="120"/>
      <c r="S17" s="120"/>
      <c r="T17" s="122">
        <f>H17-T16</f>
        <v>-0.11571739986538887</v>
      </c>
      <c r="U17" s="122"/>
      <c r="V17" s="122"/>
      <c r="W17" s="122"/>
      <c r="X17" s="122"/>
      <c r="Y17" s="123"/>
      <c r="Z17" s="9"/>
      <c r="AA17" s="9"/>
      <c r="AD17" s="104"/>
      <c r="AE17" s="104"/>
    </row>
    <row r="18" spans="1:35" ht="21.75" customHeight="1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9"/>
      <c r="AA18" s="9"/>
    </row>
    <row r="19" spans="1:35" ht="16.5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O19" s="3"/>
      <c r="P19" s="106" t="s">
        <v>10</v>
      </c>
      <c r="Q19" s="104"/>
      <c r="R19" s="104"/>
      <c r="S19" s="104"/>
      <c r="T19" s="107" t="s">
        <v>53</v>
      </c>
      <c r="U19" s="107"/>
      <c r="V19" s="107"/>
      <c r="W19" s="107"/>
      <c r="Z19" s="9"/>
      <c r="AA19" s="4"/>
    </row>
    <row r="20" spans="1:35" ht="16.5"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P20" s="104"/>
      <c r="Q20" s="104"/>
      <c r="R20" s="104"/>
      <c r="S20" s="104"/>
      <c r="T20" s="107"/>
      <c r="U20" s="107"/>
      <c r="V20" s="107"/>
      <c r="W20" s="107"/>
      <c r="Z20" s="9"/>
      <c r="AA20" s="4"/>
    </row>
    <row r="21" spans="1:35" ht="17.25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108" t="s">
        <v>26</v>
      </c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9"/>
      <c r="AA21" s="9"/>
    </row>
    <row r="22" spans="1:35" s="12" customFormat="1" ht="17.25" thickBot="1">
      <c r="X22" s="13"/>
      <c r="AD22" s="109"/>
      <c r="AE22" s="109"/>
      <c r="AF22" s="109"/>
      <c r="AG22" s="109"/>
      <c r="AH22" s="14"/>
    </row>
    <row r="23" spans="1:35" ht="16.5" customHeight="1">
      <c r="A23" s="110"/>
      <c r="B23" s="111" t="s">
        <v>11</v>
      </c>
      <c r="C23" s="112" t="s">
        <v>12</v>
      </c>
      <c r="D23" s="64">
        <v>1</v>
      </c>
      <c r="E23" s="57">
        <v>2</v>
      </c>
      <c r="F23" s="57">
        <v>3</v>
      </c>
      <c r="G23" s="57">
        <v>4</v>
      </c>
      <c r="H23" s="57">
        <v>5</v>
      </c>
      <c r="I23" s="57">
        <v>6</v>
      </c>
      <c r="J23" s="74">
        <v>7</v>
      </c>
      <c r="K23" s="69">
        <v>8</v>
      </c>
      <c r="L23" s="57">
        <v>9</v>
      </c>
      <c r="M23" s="57">
        <v>10</v>
      </c>
      <c r="N23" s="57">
        <v>11</v>
      </c>
      <c r="O23" s="57">
        <v>12</v>
      </c>
      <c r="P23" s="57">
        <v>13</v>
      </c>
      <c r="Q23" s="74">
        <v>14</v>
      </c>
      <c r="R23" s="69">
        <v>15</v>
      </c>
      <c r="S23" s="69">
        <v>16</v>
      </c>
      <c r="T23" s="69">
        <v>17</v>
      </c>
      <c r="U23" s="69">
        <v>18</v>
      </c>
      <c r="V23" s="57">
        <v>19</v>
      </c>
      <c r="W23" s="57">
        <v>20</v>
      </c>
      <c r="X23" s="74">
        <v>21</v>
      </c>
      <c r="Y23" s="69">
        <v>22</v>
      </c>
      <c r="Z23" s="57">
        <v>23</v>
      </c>
      <c r="AA23" s="57">
        <v>24</v>
      </c>
      <c r="AB23" s="85">
        <v>25</v>
      </c>
      <c r="AC23" s="57">
        <v>26</v>
      </c>
      <c r="AD23" s="57">
        <v>27</v>
      </c>
      <c r="AE23" s="74">
        <v>28</v>
      </c>
      <c r="AF23" s="57">
        <v>29</v>
      </c>
      <c r="AG23" s="57">
        <v>30</v>
      </c>
      <c r="AH23" s="79">
        <v>31</v>
      </c>
      <c r="AI23" s="97" t="s">
        <v>18</v>
      </c>
    </row>
    <row r="24" spans="1:35" ht="16.5" customHeight="1" thickBot="1">
      <c r="A24" s="110"/>
      <c r="B24" s="103"/>
      <c r="C24" s="113"/>
      <c r="D24" s="65" t="s">
        <v>72</v>
      </c>
      <c r="E24" s="58" t="s">
        <v>73</v>
      </c>
      <c r="F24" s="58" t="s">
        <v>19</v>
      </c>
      <c r="G24" s="58" t="s">
        <v>20</v>
      </c>
      <c r="H24" s="58" t="s">
        <v>21</v>
      </c>
      <c r="I24" s="58" t="s">
        <v>22</v>
      </c>
      <c r="J24" s="75" t="s">
        <v>23</v>
      </c>
      <c r="K24" s="70" t="s">
        <v>24</v>
      </c>
      <c r="L24" s="58" t="s">
        <v>25</v>
      </c>
      <c r="M24" s="58" t="s">
        <v>19</v>
      </c>
      <c r="N24" s="58" t="s">
        <v>20</v>
      </c>
      <c r="O24" s="58" t="s">
        <v>21</v>
      </c>
      <c r="P24" s="58" t="s">
        <v>22</v>
      </c>
      <c r="Q24" s="75" t="s">
        <v>23</v>
      </c>
      <c r="R24" s="70" t="s">
        <v>24</v>
      </c>
      <c r="S24" s="70" t="s">
        <v>25</v>
      </c>
      <c r="T24" s="70" t="s">
        <v>19</v>
      </c>
      <c r="U24" s="70" t="s">
        <v>20</v>
      </c>
      <c r="V24" s="58" t="s">
        <v>21</v>
      </c>
      <c r="W24" s="58" t="s">
        <v>22</v>
      </c>
      <c r="X24" s="75" t="s">
        <v>23</v>
      </c>
      <c r="Y24" s="70" t="s">
        <v>24</v>
      </c>
      <c r="Z24" s="58" t="s">
        <v>25</v>
      </c>
      <c r="AA24" s="58" t="s">
        <v>19</v>
      </c>
      <c r="AB24" s="58" t="s">
        <v>20</v>
      </c>
      <c r="AC24" s="58" t="s">
        <v>21</v>
      </c>
      <c r="AD24" s="58" t="s">
        <v>22</v>
      </c>
      <c r="AE24" s="75" t="s">
        <v>23</v>
      </c>
      <c r="AF24" s="58" t="s">
        <v>21</v>
      </c>
      <c r="AG24" s="58" t="s">
        <v>22</v>
      </c>
      <c r="AH24" s="80" t="s">
        <v>49</v>
      </c>
      <c r="AI24" s="98"/>
    </row>
    <row r="25" spans="1:35" ht="16.5">
      <c r="A25" s="99"/>
      <c r="B25" s="100" t="str">
        <f>T19</f>
        <v>선두녀</v>
      </c>
      <c r="C25" s="34" t="s">
        <v>13</v>
      </c>
      <c r="D25" s="66">
        <v>8</v>
      </c>
      <c r="E25" s="59">
        <v>6</v>
      </c>
      <c r="F25" s="59">
        <v>8</v>
      </c>
      <c r="G25" s="59">
        <v>8</v>
      </c>
      <c r="H25" s="59">
        <v>8</v>
      </c>
      <c r="I25" s="59">
        <v>8</v>
      </c>
      <c r="J25" s="76"/>
      <c r="K25" s="71">
        <v>8</v>
      </c>
      <c r="L25" s="59">
        <v>8</v>
      </c>
      <c r="M25" s="59">
        <v>8</v>
      </c>
      <c r="N25" s="59">
        <v>8</v>
      </c>
      <c r="O25" s="59">
        <v>8</v>
      </c>
      <c r="P25" s="59">
        <v>8</v>
      </c>
      <c r="Q25" s="76"/>
      <c r="R25" s="71">
        <v>8</v>
      </c>
      <c r="S25" s="71">
        <v>8</v>
      </c>
      <c r="T25" s="71">
        <v>8</v>
      </c>
      <c r="U25" s="71">
        <v>8</v>
      </c>
      <c r="V25" s="59">
        <v>8</v>
      </c>
      <c r="W25" s="59">
        <v>8</v>
      </c>
      <c r="X25" s="76"/>
      <c r="Y25" s="71">
        <v>8</v>
      </c>
      <c r="Z25" s="59">
        <v>8</v>
      </c>
      <c r="AA25" s="59">
        <v>8</v>
      </c>
      <c r="AB25" s="59">
        <v>8</v>
      </c>
      <c r="AC25" s="59">
        <v>8</v>
      </c>
      <c r="AD25" s="59">
        <v>8</v>
      </c>
      <c r="AE25" s="90"/>
      <c r="AF25" s="88"/>
      <c r="AG25" s="59"/>
      <c r="AH25" s="81"/>
      <c r="AI25" s="51">
        <f>SUM(D25:AH25)</f>
        <v>190</v>
      </c>
    </row>
    <row r="26" spans="1:35" ht="16.5">
      <c r="A26" s="99"/>
      <c r="B26" s="101"/>
      <c r="C26" s="35" t="s">
        <v>14</v>
      </c>
      <c r="D26" s="67"/>
      <c r="E26" s="60"/>
      <c r="F26" s="60">
        <v>2</v>
      </c>
      <c r="G26" s="60">
        <v>2</v>
      </c>
      <c r="H26" s="60">
        <v>2</v>
      </c>
      <c r="I26" s="60"/>
      <c r="J26" s="77"/>
      <c r="K26" s="72"/>
      <c r="L26" s="60">
        <v>2</v>
      </c>
      <c r="M26" s="60">
        <v>2</v>
      </c>
      <c r="N26" s="60"/>
      <c r="O26" s="60">
        <v>2</v>
      </c>
      <c r="P26" s="60"/>
      <c r="Q26" s="77"/>
      <c r="R26" s="72"/>
      <c r="S26" s="72"/>
      <c r="T26" s="72"/>
      <c r="U26" s="72"/>
      <c r="V26" s="60"/>
      <c r="W26" s="60"/>
      <c r="X26" s="77"/>
      <c r="Y26" s="72"/>
      <c r="Z26" s="60"/>
      <c r="AA26" s="60"/>
      <c r="AB26" s="60"/>
      <c r="AC26" s="60"/>
      <c r="AD26" s="60"/>
      <c r="AE26" s="91"/>
      <c r="AF26" s="89"/>
      <c r="AG26" s="60"/>
      <c r="AH26" s="82"/>
      <c r="AI26" s="52">
        <f>SUM(D26:AH26)</f>
        <v>12</v>
      </c>
    </row>
    <row r="27" spans="1:35" ht="16.5">
      <c r="A27" s="99"/>
      <c r="B27" s="101"/>
      <c r="C27" s="35" t="s">
        <v>15</v>
      </c>
      <c r="D27" s="67"/>
      <c r="E27" s="60"/>
      <c r="F27" s="60"/>
      <c r="G27" s="60"/>
      <c r="H27" s="60"/>
      <c r="I27" s="60"/>
      <c r="J27" s="77">
        <v>8</v>
      </c>
      <c r="K27" s="72"/>
      <c r="L27" s="60"/>
      <c r="M27" s="60"/>
      <c r="N27" s="60"/>
      <c r="O27" s="60"/>
      <c r="P27" s="60"/>
      <c r="Q27" s="77">
        <v>8</v>
      </c>
      <c r="R27" s="72"/>
      <c r="S27" s="72"/>
      <c r="T27" s="72"/>
      <c r="U27" s="72"/>
      <c r="V27" s="60"/>
      <c r="W27" s="60"/>
      <c r="X27" s="77">
        <v>8</v>
      </c>
      <c r="Y27" s="72"/>
      <c r="Z27" s="60"/>
      <c r="AA27" s="60"/>
      <c r="AB27" s="60"/>
      <c r="AC27" s="60"/>
      <c r="AD27" s="60"/>
      <c r="AE27" s="91"/>
      <c r="AF27" s="89"/>
      <c r="AG27" s="60"/>
      <c r="AH27" s="82"/>
      <c r="AI27" s="52">
        <f>SUM(D27:AH27)</f>
        <v>24</v>
      </c>
    </row>
    <row r="28" spans="1:35" ht="16.5">
      <c r="A28" s="99"/>
      <c r="B28" s="102"/>
      <c r="C28" s="15" t="s">
        <v>27</v>
      </c>
      <c r="D28" s="67"/>
      <c r="E28" s="60"/>
      <c r="F28" s="60"/>
      <c r="G28" s="60"/>
      <c r="H28" s="60"/>
      <c r="I28" s="60"/>
      <c r="J28" s="77"/>
      <c r="K28" s="72"/>
      <c r="L28" s="60"/>
      <c r="M28" s="60"/>
      <c r="N28" s="60"/>
      <c r="O28" s="60"/>
      <c r="P28" s="60"/>
      <c r="Q28" s="77"/>
      <c r="R28" s="72"/>
      <c r="S28" s="72"/>
      <c r="T28" s="72"/>
      <c r="U28" s="72"/>
      <c r="V28" s="60"/>
      <c r="W28" s="60"/>
      <c r="X28" s="77"/>
      <c r="Y28" s="72"/>
      <c r="Z28" s="60"/>
      <c r="AA28" s="60"/>
      <c r="AB28" s="60"/>
      <c r="AC28" s="60"/>
      <c r="AD28" s="60"/>
      <c r="AE28" s="91"/>
      <c r="AF28" s="89"/>
      <c r="AG28" s="60"/>
      <c r="AH28" s="82"/>
      <c r="AI28" s="52">
        <f>SUM(D28:AH28)</f>
        <v>0</v>
      </c>
    </row>
    <row r="29" spans="1:35" ht="17.25" thickBot="1">
      <c r="A29" s="99"/>
      <c r="B29" s="103"/>
      <c r="C29" s="46" t="s">
        <v>34</v>
      </c>
      <c r="D29" s="68"/>
      <c r="E29" s="61"/>
      <c r="F29" s="61"/>
      <c r="G29" s="61"/>
      <c r="H29" s="61"/>
      <c r="I29" s="61"/>
      <c r="J29" s="78"/>
      <c r="K29" s="73"/>
      <c r="L29" s="61"/>
      <c r="M29" s="61"/>
      <c r="N29" s="61"/>
      <c r="O29" s="61"/>
      <c r="P29" s="61"/>
      <c r="Q29" s="78"/>
      <c r="R29" s="73"/>
      <c r="S29" s="73"/>
      <c r="T29" s="73"/>
      <c r="U29" s="73"/>
      <c r="V29" s="61"/>
      <c r="W29" s="61"/>
      <c r="X29" s="78"/>
      <c r="Y29" s="73"/>
      <c r="Z29" s="61"/>
      <c r="AA29" s="61"/>
      <c r="AB29" s="86"/>
      <c r="AC29" s="61"/>
      <c r="AD29" s="61"/>
      <c r="AE29" s="93"/>
      <c r="AF29" s="63"/>
      <c r="AG29" s="61"/>
      <c r="AH29" s="83"/>
      <c r="AI29" s="53">
        <f>SUM(D29:AH29)</f>
        <v>0</v>
      </c>
    </row>
    <row r="30" spans="1:35" ht="18" customHeight="1"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8"/>
      <c r="AE30" s="18"/>
      <c r="AF30" s="18"/>
      <c r="AG30" s="18"/>
      <c r="AH30" s="18"/>
      <c r="AI30" s="17"/>
    </row>
  </sheetData>
  <mergeCells count="77">
    <mergeCell ref="B1:G2"/>
    <mergeCell ref="B3:M3"/>
    <mergeCell ref="N3:Y3"/>
    <mergeCell ref="B4:G4"/>
    <mergeCell ref="H4:J4"/>
    <mergeCell ref="K4:M4"/>
    <mergeCell ref="N4:S4"/>
    <mergeCell ref="T4:Y4"/>
    <mergeCell ref="B5:G5"/>
    <mergeCell ref="H5:J5"/>
    <mergeCell ref="K5:M5"/>
    <mergeCell ref="N5:S5"/>
    <mergeCell ref="T5:Y5"/>
    <mergeCell ref="B6:G6"/>
    <mergeCell ref="H6:J6"/>
    <mergeCell ref="K6:M6"/>
    <mergeCell ref="N6:S6"/>
    <mergeCell ref="T6:Y6"/>
    <mergeCell ref="B7:G7"/>
    <mergeCell ref="H7:J7"/>
    <mergeCell ref="K7:M7"/>
    <mergeCell ref="N7:S7"/>
    <mergeCell ref="T7:Y7"/>
    <mergeCell ref="B9:G9"/>
    <mergeCell ref="H9:J9"/>
    <mergeCell ref="K9:M9"/>
    <mergeCell ref="N9:S9"/>
    <mergeCell ref="T9:Y9"/>
    <mergeCell ref="B8:G8"/>
    <mergeCell ref="H8:J8"/>
    <mergeCell ref="K8:M8"/>
    <mergeCell ref="N8:S8"/>
    <mergeCell ref="T8:Y8"/>
    <mergeCell ref="B10:G10"/>
    <mergeCell ref="H10:M10"/>
    <mergeCell ref="N10:S10"/>
    <mergeCell ref="T10:Y10"/>
    <mergeCell ref="B11:G11"/>
    <mergeCell ref="H11:M11"/>
    <mergeCell ref="N11:S11"/>
    <mergeCell ref="T11:Y11"/>
    <mergeCell ref="B12:G12"/>
    <mergeCell ref="H12:M12"/>
    <mergeCell ref="N12:S12"/>
    <mergeCell ref="T12:Y12"/>
    <mergeCell ref="B13:G13"/>
    <mergeCell ref="H13:M13"/>
    <mergeCell ref="N13:S13"/>
    <mergeCell ref="T13:Y13"/>
    <mergeCell ref="B14:G14"/>
    <mergeCell ref="H14:M14"/>
    <mergeCell ref="N14:S14"/>
    <mergeCell ref="T14:Y14"/>
    <mergeCell ref="B15:G15"/>
    <mergeCell ref="H15:M15"/>
    <mergeCell ref="N15:S15"/>
    <mergeCell ref="T15:Y15"/>
    <mergeCell ref="B16:G16"/>
    <mergeCell ref="H16:M16"/>
    <mergeCell ref="N16:S16"/>
    <mergeCell ref="T16:Y16"/>
    <mergeCell ref="B17:G17"/>
    <mergeCell ref="H17:M17"/>
    <mergeCell ref="N17:S17"/>
    <mergeCell ref="T17:Y17"/>
    <mergeCell ref="AI23:AI24"/>
    <mergeCell ref="A25:A29"/>
    <mergeCell ref="B25:B29"/>
    <mergeCell ref="AD17:AE17"/>
    <mergeCell ref="N18:Y18"/>
    <mergeCell ref="P19:S20"/>
    <mergeCell ref="T19:W20"/>
    <mergeCell ref="N21:Y21"/>
    <mergeCell ref="AD22:AG22"/>
    <mergeCell ref="A23:A24"/>
    <mergeCell ref="B23:B24"/>
    <mergeCell ref="C23:C24"/>
  </mergeCells>
  <phoneticPr fontId="2" type="noConversion"/>
  <pageMargins left="0.7" right="0.7" top="0.75" bottom="0.75" header="0.3" footer="0.3"/>
  <pageSetup paperSize="9" scale="73" orientation="landscape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J30"/>
  <sheetViews>
    <sheetView showGridLines="0" showZeros="0" zoomScale="90" zoomScaleNormal="90" workbookViewId="0">
      <selection activeCell="V35" sqref="V35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9" customWidth="1"/>
    <col min="32" max="34" width="4.625" style="9" hidden="1" customWidth="1"/>
    <col min="35" max="35" width="6" style="1" customWidth="1"/>
    <col min="36" max="36" width="4.25" style="1" customWidth="1"/>
    <col min="37" max="38" width="3.75" style="1" customWidth="1"/>
    <col min="39" max="62" width="3.25" style="1" customWidth="1"/>
    <col min="63" max="65" width="2.125" style="1" customWidth="1"/>
    <col min="66" max="16384" width="3.625" style="1"/>
  </cols>
  <sheetData>
    <row r="1" spans="2:36" ht="16.5" customHeight="1">
      <c r="B1" s="149" t="s">
        <v>44</v>
      </c>
      <c r="C1" s="149"/>
      <c r="D1" s="149"/>
      <c r="E1" s="149"/>
      <c r="F1" s="149"/>
      <c r="G1" s="149"/>
    </row>
    <row r="2" spans="2:36" ht="17.25" customHeight="1" thickBot="1">
      <c r="B2" s="150"/>
      <c r="C2" s="150"/>
      <c r="D2" s="150"/>
      <c r="E2" s="150"/>
      <c r="F2" s="150"/>
      <c r="G2" s="150"/>
    </row>
    <row r="3" spans="2:36" ht="16.5">
      <c r="B3" s="151" t="s">
        <v>0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 t="s">
        <v>1</v>
      </c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3"/>
    </row>
    <row r="4" spans="2:36" ht="16.5" customHeight="1">
      <c r="B4" s="135" t="s">
        <v>2</v>
      </c>
      <c r="C4" s="136"/>
      <c r="D4" s="136"/>
      <c r="E4" s="136"/>
      <c r="F4" s="136"/>
      <c r="G4" s="137"/>
      <c r="H4" s="148">
        <f>AI25</f>
        <v>188</v>
      </c>
      <c r="I4" s="148"/>
      <c r="J4" s="148"/>
      <c r="K4" s="117">
        <f>H4*10320</f>
        <v>1940160</v>
      </c>
      <c r="L4" s="117"/>
      <c r="M4" s="117"/>
      <c r="N4" s="137" t="s">
        <v>29</v>
      </c>
      <c r="O4" s="142"/>
      <c r="P4" s="142"/>
      <c r="Q4" s="142"/>
      <c r="R4" s="142"/>
      <c r="S4" s="143"/>
      <c r="T4" s="126">
        <v>102600</v>
      </c>
      <c r="U4" s="127"/>
      <c r="V4" s="127"/>
      <c r="W4" s="127"/>
      <c r="X4" s="127"/>
      <c r="Y4" s="144"/>
    </row>
    <row r="5" spans="2:36" ht="16.5" customHeight="1">
      <c r="B5" s="141" t="s">
        <v>3</v>
      </c>
      <c r="C5" s="142"/>
      <c r="D5" s="142"/>
      <c r="E5" s="142"/>
      <c r="F5" s="142"/>
      <c r="G5" s="143"/>
      <c r="H5" s="148">
        <f>AI26</f>
        <v>8</v>
      </c>
      <c r="I5" s="148"/>
      <c r="J5" s="148"/>
      <c r="K5" s="117">
        <f>H5*10320*1.5</f>
        <v>123840</v>
      </c>
      <c r="L5" s="117"/>
      <c r="M5" s="117"/>
      <c r="N5" s="137" t="s">
        <v>30</v>
      </c>
      <c r="O5" s="142"/>
      <c r="P5" s="142"/>
      <c r="Q5" s="142"/>
      <c r="R5" s="142"/>
      <c r="S5" s="143"/>
      <c r="T5" s="126">
        <f>H17*3.595%</f>
        <v>95202.790000000008</v>
      </c>
      <c r="U5" s="127"/>
      <c r="V5" s="127"/>
      <c r="W5" s="127"/>
      <c r="X5" s="127"/>
      <c r="Y5" s="144"/>
    </row>
    <row r="6" spans="2:36" ht="16.5" customHeight="1">
      <c r="B6" s="141" t="s">
        <v>4</v>
      </c>
      <c r="C6" s="142"/>
      <c r="D6" s="142"/>
      <c r="E6" s="142"/>
      <c r="F6" s="142"/>
      <c r="G6" s="143"/>
      <c r="H6" s="148"/>
      <c r="I6" s="148"/>
      <c r="J6" s="148"/>
      <c r="K6" s="117"/>
      <c r="L6" s="117"/>
      <c r="M6" s="117"/>
      <c r="N6" s="137" t="s">
        <v>17</v>
      </c>
      <c r="O6" s="142"/>
      <c r="P6" s="142"/>
      <c r="Q6" s="142"/>
      <c r="R6" s="142"/>
      <c r="S6" s="143"/>
      <c r="T6" s="126">
        <f>T5*13.14%</f>
        <v>12509.646606000002</v>
      </c>
      <c r="U6" s="127"/>
      <c r="V6" s="127"/>
      <c r="W6" s="127"/>
      <c r="X6" s="127"/>
      <c r="Y6" s="144"/>
      <c r="AJ6" s="47"/>
    </row>
    <row r="7" spans="2:36" ht="16.5" customHeight="1">
      <c r="B7" s="141" t="s">
        <v>5</v>
      </c>
      <c r="C7" s="142"/>
      <c r="D7" s="142"/>
      <c r="E7" s="142"/>
      <c r="F7" s="142"/>
      <c r="G7" s="143"/>
      <c r="H7" s="148">
        <f>AI27</f>
        <v>32</v>
      </c>
      <c r="I7" s="148"/>
      <c r="J7" s="148"/>
      <c r="K7" s="117">
        <f>H7*10320*1.5</f>
        <v>495360</v>
      </c>
      <c r="L7" s="117"/>
      <c r="M7" s="117"/>
      <c r="N7" s="137" t="s">
        <v>31</v>
      </c>
      <c r="O7" s="142"/>
      <c r="P7" s="142"/>
      <c r="Q7" s="142"/>
      <c r="R7" s="142"/>
      <c r="S7" s="143"/>
      <c r="T7" s="126">
        <f>H17*0.9%</f>
        <v>23833.800000000003</v>
      </c>
      <c r="U7" s="127"/>
      <c r="V7" s="127"/>
      <c r="W7" s="127"/>
      <c r="X7" s="127"/>
      <c r="Y7" s="144"/>
      <c r="AJ7" s="47"/>
    </row>
    <row r="8" spans="2:36" ht="16.5" customHeight="1">
      <c r="B8" s="141" t="s">
        <v>6</v>
      </c>
      <c r="C8" s="142"/>
      <c r="D8" s="142"/>
      <c r="E8" s="142"/>
      <c r="F8" s="142"/>
      <c r="G8" s="143"/>
      <c r="H8" s="145"/>
      <c r="I8" s="146"/>
      <c r="J8" s="147"/>
      <c r="K8" s="126">
        <f>H8*9860*2</f>
        <v>0</v>
      </c>
      <c r="L8" s="127"/>
      <c r="M8" s="128"/>
      <c r="N8" s="137" t="s">
        <v>32</v>
      </c>
      <c r="O8" s="142"/>
      <c r="P8" s="142"/>
      <c r="Q8" s="142"/>
      <c r="R8" s="142"/>
      <c r="S8" s="143"/>
      <c r="T8" s="126">
        <v>43110</v>
      </c>
      <c r="U8" s="127"/>
      <c r="V8" s="127"/>
      <c r="W8" s="127"/>
      <c r="X8" s="127"/>
      <c r="Y8" s="144"/>
      <c r="AJ8" s="47"/>
    </row>
    <row r="9" spans="2:36" ht="16.5" customHeight="1">
      <c r="B9" s="141" t="s">
        <v>28</v>
      </c>
      <c r="C9" s="142"/>
      <c r="D9" s="142"/>
      <c r="E9" s="142"/>
      <c r="F9" s="142"/>
      <c r="G9" s="143"/>
      <c r="H9" s="145">
        <f>AI29</f>
        <v>0</v>
      </c>
      <c r="I9" s="146"/>
      <c r="J9" s="147"/>
      <c r="K9" s="117"/>
      <c r="L9" s="117"/>
      <c r="M9" s="117"/>
      <c r="N9" s="136" t="s">
        <v>33</v>
      </c>
      <c r="O9" s="136"/>
      <c r="P9" s="136"/>
      <c r="Q9" s="136"/>
      <c r="R9" s="136"/>
      <c r="S9" s="136"/>
      <c r="T9" s="126">
        <f>T8*10%</f>
        <v>4311</v>
      </c>
      <c r="U9" s="127"/>
      <c r="V9" s="127"/>
      <c r="W9" s="127"/>
      <c r="X9" s="127"/>
      <c r="Y9" s="144"/>
      <c r="AJ9" s="9"/>
    </row>
    <row r="10" spans="2:36" ht="16.5" customHeight="1">
      <c r="B10" s="141" t="s">
        <v>35</v>
      </c>
      <c r="C10" s="142"/>
      <c r="D10" s="142"/>
      <c r="E10" s="142"/>
      <c r="F10" s="142"/>
      <c r="G10" s="143"/>
      <c r="H10" s="126">
        <v>80840</v>
      </c>
      <c r="I10" s="127"/>
      <c r="J10" s="127"/>
      <c r="K10" s="127"/>
      <c r="L10" s="127"/>
      <c r="M10" s="128"/>
      <c r="N10" s="136" t="s">
        <v>64</v>
      </c>
      <c r="O10" s="136"/>
      <c r="P10" s="136"/>
      <c r="Q10" s="136"/>
      <c r="R10" s="136"/>
      <c r="S10" s="136"/>
      <c r="T10" s="117">
        <v>2366633</v>
      </c>
      <c r="U10" s="117"/>
      <c r="V10" s="117"/>
      <c r="W10" s="117"/>
      <c r="X10" s="117"/>
      <c r="Y10" s="118"/>
      <c r="Z10" s="2"/>
      <c r="AA10" s="2"/>
    </row>
    <row r="11" spans="2:36" ht="16.5" customHeight="1">
      <c r="B11" s="141" t="s">
        <v>59</v>
      </c>
      <c r="C11" s="142"/>
      <c r="D11" s="142"/>
      <c r="E11" s="142"/>
      <c r="F11" s="142"/>
      <c r="G11" s="143"/>
      <c r="H11" s="126">
        <v>8000</v>
      </c>
      <c r="I11" s="127"/>
      <c r="J11" s="127"/>
      <c r="K11" s="127"/>
      <c r="L11" s="127"/>
      <c r="M11" s="128"/>
      <c r="N11" s="136" t="s">
        <v>77</v>
      </c>
      <c r="O11" s="136"/>
      <c r="P11" s="136"/>
      <c r="Q11" s="136"/>
      <c r="R11" s="136"/>
      <c r="S11" s="136"/>
      <c r="T11" s="126">
        <v>0</v>
      </c>
      <c r="U11" s="127"/>
      <c r="V11" s="127"/>
      <c r="W11" s="127"/>
      <c r="X11" s="127"/>
      <c r="Y11" s="144"/>
      <c r="Z11" s="2"/>
      <c r="AA11" s="2"/>
    </row>
    <row r="12" spans="2:36" ht="16.5">
      <c r="B12" s="135"/>
      <c r="C12" s="136"/>
      <c r="D12" s="136"/>
      <c r="E12" s="136"/>
      <c r="F12" s="136"/>
      <c r="G12" s="137"/>
      <c r="H12" s="117"/>
      <c r="I12" s="117"/>
      <c r="J12" s="117"/>
      <c r="K12" s="117"/>
      <c r="L12" s="117"/>
      <c r="M12" s="117"/>
      <c r="N12" s="138"/>
      <c r="O12" s="138"/>
      <c r="P12" s="138"/>
      <c r="Q12" s="138"/>
      <c r="R12" s="138"/>
      <c r="S12" s="138"/>
      <c r="T12" s="139"/>
      <c r="U12" s="139"/>
      <c r="V12" s="139"/>
      <c r="W12" s="139"/>
      <c r="X12" s="139"/>
      <c r="Y12" s="140"/>
      <c r="Z12" s="2"/>
      <c r="AA12" s="2"/>
    </row>
    <row r="13" spans="2:36" ht="16.5" customHeight="1">
      <c r="B13" s="114"/>
      <c r="C13" s="115"/>
      <c r="D13" s="115"/>
      <c r="E13" s="115"/>
      <c r="F13" s="115"/>
      <c r="G13" s="116"/>
      <c r="H13" s="126"/>
      <c r="I13" s="127"/>
      <c r="J13" s="127"/>
      <c r="K13" s="127"/>
      <c r="L13" s="127"/>
      <c r="M13" s="127"/>
      <c r="N13" s="115"/>
      <c r="O13" s="115"/>
      <c r="P13" s="115"/>
      <c r="Q13" s="115"/>
      <c r="R13" s="115"/>
      <c r="S13" s="115"/>
      <c r="T13" s="117"/>
      <c r="U13" s="117"/>
      <c r="V13" s="117"/>
      <c r="W13" s="117"/>
      <c r="X13" s="117"/>
      <c r="Y13" s="118"/>
      <c r="Z13" s="2"/>
      <c r="AA13" s="2"/>
    </row>
    <row r="14" spans="2:36" ht="16.5">
      <c r="B14" s="124"/>
      <c r="C14" s="125"/>
      <c r="D14" s="125"/>
      <c r="E14" s="125"/>
      <c r="F14" s="125"/>
      <c r="G14" s="125"/>
      <c r="H14" s="126"/>
      <c r="I14" s="127"/>
      <c r="J14" s="127"/>
      <c r="K14" s="127"/>
      <c r="L14" s="127"/>
      <c r="M14" s="128"/>
      <c r="N14" s="129"/>
      <c r="O14" s="130"/>
      <c r="P14" s="130"/>
      <c r="Q14" s="130"/>
      <c r="R14" s="130"/>
      <c r="S14" s="131"/>
      <c r="T14" s="132"/>
      <c r="U14" s="133"/>
      <c r="V14" s="133"/>
      <c r="W14" s="133"/>
      <c r="X14" s="133"/>
      <c r="Y14" s="134"/>
      <c r="Z14" s="2"/>
      <c r="AA14" s="2"/>
    </row>
    <row r="15" spans="2:36" ht="16.5">
      <c r="B15" s="114"/>
      <c r="C15" s="115"/>
      <c r="D15" s="115"/>
      <c r="E15" s="115"/>
      <c r="F15" s="115"/>
      <c r="G15" s="116"/>
      <c r="H15" s="117"/>
      <c r="I15" s="117"/>
      <c r="J15" s="117"/>
      <c r="K15" s="117"/>
      <c r="L15" s="117"/>
      <c r="M15" s="117"/>
      <c r="N15" s="115"/>
      <c r="O15" s="115"/>
      <c r="P15" s="115"/>
      <c r="Q15" s="115"/>
      <c r="R15" s="115"/>
      <c r="S15" s="115"/>
      <c r="T15" s="117"/>
      <c r="U15" s="117"/>
      <c r="V15" s="117"/>
      <c r="W15" s="117"/>
      <c r="X15" s="117"/>
      <c r="Y15" s="118"/>
      <c r="Z15" s="2"/>
      <c r="AA15" s="2"/>
    </row>
    <row r="16" spans="2:36" ht="16.5">
      <c r="B16" s="114"/>
      <c r="C16" s="115"/>
      <c r="D16" s="115"/>
      <c r="E16" s="115"/>
      <c r="F16" s="115"/>
      <c r="G16" s="116"/>
      <c r="H16" s="117"/>
      <c r="I16" s="117"/>
      <c r="J16" s="117"/>
      <c r="K16" s="117"/>
      <c r="L16" s="117"/>
      <c r="M16" s="117"/>
      <c r="N16" s="115" t="s">
        <v>7</v>
      </c>
      <c r="O16" s="115"/>
      <c r="P16" s="115"/>
      <c r="Q16" s="115"/>
      <c r="R16" s="115"/>
      <c r="S16" s="115"/>
      <c r="T16" s="117">
        <f>SUM(T4:Y12)</f>
        <v>2648200.236606</v>
      </c>
      <c r="U16" s="117"/>
      <c r="V16" s="117"/>
      <c r="W16" s="117"/>
      <c r="X16" s="117"/>
      <c r="Y16" s="118"/>
      <c r="Z16" s="9"/>
      <c r="AA16" s="9"/>
    </row>
    <row r="17" spans="1:35" ht="17.25" thickBot="1">
      <c r="B17" s="119" t="s">
        <v>8</v>
      </c>
      <c r="C17" s="120"/>
      <c r="D17" s="120"/>
      <c r="E17" s="120"/>
      <c r="F17" s="120"/>
      <c r="G17" s="121"/>
      <c r="H17" s="122">
        <f>SUM(K4,K5,K6,K7,K8,K9,H10,H11,H12,H13,H14,H15,H16)</f>
        <v>2648200</v>
      </c>
      <c r="I17" s="122"/>
      <c r="J17" s="122"/>
      <c r="K17" s="122"/>
      <c r="L17" s="122"/>
      <c r="M17" s="122"/>
      <c r="N17" s="120" t="s">
        <v>9</v>
      </c>
      <c r="O17" s="120"/>
      <c r="P17" s="120"/>
      <c r="Q17" s="120"/>
      <c r="R17" s="120"/>
      <c r="S17" s="120"/>
      <c r="T17" s="122">
        <f>H17-T16</f>
        <v>-0.23660599999129772</v>
      </c>
      <c r="U17" s="122"/>
      <c r="V17" s="122"/>
      <c r="W17" s="122"/>
      <c r="X17" s="122"/>
      <c r="Y17" s="123"/>
      <c r="Z17" s="9"/>
      <c r="AA17" s="9"/>
      <c r="AD17" s="104"/>
      <c r="AE17" s="104"/>
    </row>
    <row r="18" spans="1:35" ht="21.75" customHeight="1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9"/>
      <c r="AA18" s="9"/>
    </row>
    <row r="19" spans="1:35" ht="16.5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O19" s="3"/>
      <c r="P19" s="106" t="s">
        <v>10</v>
      </c>
      <c r="Q19" s="104"/>
      <c r="R19" s="104"/>
      <c r="S19" s="104"/>
      <c r="T19" s="107" t="s">
        <v>71</v>
      </c>
      <c r="U19" s="107"/>
      <c r="V19" s="107"/>
      <c r="W19" s="107"/>
      <c r="Z19" s="9"/>
      <c r="AA19" s="4"/>
    </row>
    <row r="20" spans="1:35" ht="16.5"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P20" s="104"/>
      <c r="Q20" s="104"/>
      <c r="R20" s="104"/>
      <c r="S20" s="104"/>
      <c r="T20" s="107"/>
      <c r="U20" s="107"/>
      <c r="V20" s="107"/>
      <c r="W20" s="107"/>
      <c r="Z20" s="9"/>
      <c r="AA20" s="4"/>
    </row>
    <row r="21" spans="1:35" ht="17.25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108" t="s">
        <v>26</v>
      </c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9"/>
      <c r="AA21" s="9"/>
    </row>
    <row r="22" spans="1:35" s="12" customFormat="1" ht="17.25" thickBot="1">
      <c r="X22" s="13"/>
      <c r="AD22" s="109"/>
      <c r="AE22" s="109"/>
      <c r="AF22" s="109"/>
      <c r="AG22" s="109"/>
      <c r="AH22" s="14"/>
    </row>
    <row r="23" spans="1:35" ht="16.5" customHeight="1">
      <c r="A23" s="110"/>
      <c r="B23" s="111" t="s">
        <v>11</v>
      </c>
      <c r="C23" s="112" t="s">
        <v>12</v>
      </c>
      <c r="D23" s="64">
        <v>1</v>
      </c>
      <c r="E23" s="57">
        <v>2</v>
      </c>
      <c r="F23" s="57">
        <v>3</v>
      </c>
      <c r="G23" s="57">
        <v>4</v>
      </c>
      <c r="H23" s="57">
        <v>5</v>
      </c>
      <c r="I23" s="57">
        <v>6</v>
      </c>
      <c r="J23" s="74">
        <v>7</v>
      </c>
      <c r="K23" s="69">
        <v>8</v>
      </c>
      <c r="L23" s="57">
        <v>9</v>
      </c>
      <c r="M23" s="57">
        <v>10</v>
      </c>
      <c r="N23" s="57">
        <v>11</v>
      </c>
      <c r="O23" s="57">
        <v>12</v>
      </c>
      <c r="P23" s="57">
        <v>13</v>
      </c>
      <c r="Q23" s="74">
        <v>14</v>
      </c>
      <c r="R23" s="69">
        <v>15</v>
      </c>
      <c r="S23" s="69">
        <v>16</v>
      </c>
      <c r="T23" s="69">
        <v>17</v>
      </c>
      <c r="U23" s="69">
        <v>18</v>
      </c>
      <c r="V23" s="57">
        <v>19</v>
      </c>
      <c r="W23" s="57">
        <v>20</v>
      </c>
      <c r="X23" s="74">
        <v>21</v>
      </c>
      <c r="Y23" s="69">
        <v>22</v>
      </c>
      <c r="Z23" s="57">
        <v>23</v>
      </c>
      <c r="AA23" s="57">
        <v>24</v>
      </c>
      <c r="AB23" s="85">
        <v>25</v>
      </c>
      <c r="AC23" s="57">
        <v>26</v>
      </c>
      <c r="AD23" s="57">
        <v>27</v>
      </c>
      <c r="AE23" s="74">
        <v>28</v>
      </c>
      <c r="AF23" s="57">
        <v>29</v>
      </c>
      <c r="AG23" s="57">
        <v>30</v>
      </c>
      <c r="AH23" s="79">
        <v>31</v>
      </c>
      <c r="AI23" s="97" t="s">
        <v>18</v>
      </c>
    </row>
    <row r="24" spans="1:35" ht="16.5" customHeight="1" thickBot="1">
      <c r="A24" s="110"/>
      <c r="B24" s="103"/>
      <c r="C24" s="113"/>
      <c r="D24" s="65" t="s">
        <v>72</v>
      </c>
      <c r="E24" s="58" t="s">
        <v>73</v>
      </c>
      <c r="F24" s="58" t="s">
        <v>19</v>
      </c>
      <c r="G24" s="58" t="s">
        <v>20</v>
      </c>
      <c r="H24" s="58" t="s">
        <v>21</v>
      </c>
      <c r="I24" s="58" t="s">
        <v>22</v>
      </c>
      <c r="J24" s="75" t="s">
        <v>23</v>
      </c>
      <c r="K24" s="70" t="s">
        <v>24</v>
      </c>
      <c r="L24" s="58" t="s">
        <v>25</v>
      </c>
      <c r="M24" s="58" t="s">
        <v>19</v>
      </c>
      <c r="N24" s="58" t="s">
        <v>20</v>
      </c>
      <c r="O24" s="58" t="s">
        <v>21</v>
      </c>
      <c r="P24" s="58" t="s">
        <v>22</v>
      </c>
      <c r="Q24" s="75" t="s">
        <v>23</v>
      </c>
      <c r="R24" s="70" t="s">
        <v>24</v>
      </c>
      <c r="S24" s="70" t="s">
        <v>25</v>
      </c>
      <c r="T24" s="70" t="s">
        <v>19</v>
      </c>
      <c r="U24" s="70" t="s">
        <v>20</v>
      </c>
      <c r="V24" s="58" t="s">
        <v>21</v>
      </c>
      <c r="W24" s="58" t="s">
        <v>22</v>
      </c>
      <c r="X24" s="75" t="s">
        <v>23</v>
      </c>
      <c r="Y24" s="70" t="s">
        <v>24</v>
      </c>
      <c r="Z24" s="58" t="s">
        <v>25</v>
      </c>
      <c r="AA24" s="58" t="s">
        <v>19</v>
      </c>
      <c r="AB24" s="58" t="s">
        <v>20</v>
      </c>
      <c r="AC24" s="58" t="s">
        <v>21</v>
      </c>
      <c r="AD24" s="58" t="s">
        <v>22</v>
      </c>
      <c r="AE24" s="75" t="s">
        <v>23</v>
      </c>
      <c r="AF24" s="58" t="s">
        <v>21</v>
      </c>
      <c r="AG24" s="58" t="s">
        <v>22</v>
      </c>
      <c r="AH24" s="80" t="s">
        <v>47</v>
      </c>
      <c r="AI24" s="98"/>
    </row>
    <row r="25" spans="1:35" ht="16.5">
      <c r="A25" s="99"/>
      <c r="B25" s="100" t="str">
        <f>T19</f>
        <v>김연아</v>
      </c>
      <c r="C25" s="34" t="s">
        <v>13</v>
      </c>
      <c r="D25" s="66">
        <v>8</v>
      </c>
      <c r="E25" s="59">
        <v>6</v>
      </c>
      <c r="F25" s="59">
        <v>8</v>
      </c>
      <c r="G25" s="59">
        <v>8</v>
      </c>
      <c r="H25" s="59">
        <v>8</v>
      </c>
      <c r="I25" s="59">
        <v>8</v>
      </c>
      <c r="J25" s="76"/>
      <c r="K25" s="71">
        <v>8</v>
      </c>
      <c r="L25" s="59">
        <v>8</v>
      </c>
      <c r="M25" s="59">
        <v>8</v>
      </c>
      <c r="N25" s="59">
        <v>8</v>
      </c>
      <c r="O25" s="59">
        <v>8</v>
      </c>
      <c r="P25" s="59">
        <v>8</v>
      </c>
      <c r="Q25" s="76"/>
      <c r="R25" s="71">
        <v>8</v>
      </c>
      <c r="S25" s="71">
        <v>8</v>
      </c>
      <c r="T25" s="71">
        <v>8</v>
      </c>
      <c r="U25" s="71">
        <v>8</v>
      </c>
      <c r="V25" s="59">
        <v>8</v>
      </c>
      <c r="W25" s="59">
        <v>8</v>
      </c>
      <c r="X25" s="76"/>
      <c r="Y25" s="71">
        <v>8</v>
      </c>
      <c r="Z25" s="59">
        <v>8</v>
      </c>
      <c r="AA25" s="59">
        <v>8</v>
      </c>
      <c r="AB25" s="59">
        <v>8</v>
      </c>
      <c r="AC25" s="59">
        <v>8</v>
      </c>
      <c r="AD25" s="59">
        <v>6</v>
      </c>
      <c r="AE25" s="90"/>
      <c r="AF25" s="88"/>
      <c r="AG25" s="59"/>
      <c r="AH25" s="81"/>
      <c r="AI25" s="51">
        <f>SUM(D25:AH25)</f>
        <v>188</v>
      </c>
    </row>
    <row r="26" spans="1:35" ht="16.5">
      <c r="A26" s="99"/>
      <c r="B26" s="101"/>
      <c r="C26" s="35" t="s">
        <v>14</v>
      </c>
      <c r="D26" s="67"/>
      <c r="E26" s="60"/>
      <c r="F26" s="60">
        <v>2</v>
      </c>
      <c r="G26" s="60">
        <v>2</v>
      </c>
      <c r="H26" s="60"/>
      <c r="I26" s="60"/>
      <c r="J26" s="77"/>
      <c r="K26" s="72"/>
      <c r="L26" s="60">
        <v>2</v>
      </c>
      <c r="M26" s="60">
        <v>2</v>
      </c>
      <c r="N26" s="60"/>
      <c r="O26" s="60"/>
      <c r="P26" s="60"/>
      <c r="Q26" s="77"/>
      <c r="R26" s="72"/>
      <c r="S26" s="72"/>
      <c r="T26" s="72"/>
      <c r="U26" s="72"/>
      <c r="V26" s="60"/>
      <c r="W26" s="60"/>
      <c r="X26" s="77"/>
      <c r="Y26" s="72"/>
      <c r="Z26" s="60"/>
      <c r="AA26" s="60"/>
      <c r="AB26" s="60"/>
      <c r="AC26" s="60"/>
      <c r="AD26" s="60"/>
      <c r="AE26" s="91"/>
      <c r="AF26" s="89"/>
      <c r="AG26" s="60"/>
      <c r="AH26" s="82"/>
      <c r="AI26" s="52">
        <f>SUM(D26:AH26)</f>
        <v>8</v>
      </c>
    </row>
    <row r="27" spans="1:35" ht="16.5">
      <c r="A27" s="99"/>
      <c r="B27" s="101"/>
      <c r="C27" s="35" t="s">
        <v>15</v>
      </c>
      <c r="D27" s="67"/>
      <c r="E27" s="60"/>
      <c r="F27" s="60"/>
      <c r="G27" s="60"/>
      <c r="H27" s="60"/>
      <c r="I27" s="60"/>
      <c r="J27" s="77">
        <v>8</v>
      </c>
      <c r="K27" s="72"/>
      <c r="L27" s="60"/>
      <c r="M27" s="60"/>
      <c r="N27" s="60"/>
      <c r="O27" s="60"/>
      <c r="P27" s="60"/>
      <c r="Q27" s="77">
        <v>8</v>
      </c>
      <c r="R27" s="72"/>
      <c r="S27" s="72"/>
      <c r="T27" s="72"/>
      <c r="U27" s="72"/>
      <c r="V27" s="60"/>
      <c r="W27" s="60"/>
      <c r="X27" s="77">
        <v>8</v>
      </c>
      <c r="Y27" s="72"/>
      <c r="Z27" s="60"/>
      <c r="AA27" s="60"/>
      <c r="AB27" s="60"/>
      <c r="AC27" s="60"/>
      <c r="AD27" s="60"/>
      <c r="AE27" s="91">
        <v>8</v>
      </c>
      <c r="AF27" s="89"/>
      <c r="AG27" s="60"/>
      <c r="AH27" s="82"/>
      <c r="AI27" s="52">
        <f>SUM(D27:AH27)</f>
        <v>32</v>
      </c>
    </row>
    <row r="28" spans="1:35" ht="16.5">
      <c r="A28" s="99"/>
      <c r="B28" s="102"/>
      <c r="C28" s="15" t="s">
        <v>27</v>
      </c>
      <c r="D28" s="67"/>
      <c r="E28" s="60"/>
      <c r="F28" s="60"/>
      <c r="G28" s="60"/>
      <c r="H28" s="60"/>
      <c r="I28" s="60"/>
      <c r="J28" s="77"/>
      <c r="K28" s="72"/>
      <c r="L28" s="60"/>
      <c r="M28" s="60"/>
      <c r="N28" s="60"/>
      <c r="O28" s="60"/>
      <c r="P28" s="60"/>
      <c r="Q28" s="77"/>
      <c r="R28" s="72"/>
      <c r="S28" s="72"/>
      <c r="T28" s="72"/>
      <c r="U28" s="72"/>
      <c r="V28" s="60"/>
      <c r="W28" s="60"/>
      <c r="X28" s="77"/>
      <c r="Y28" s="72"/>
      <c r="Z28" s="60"/>
      <c r="AA28" s="60"/>
      <c r="AB28" s="60"/>
      <c r="AC28" s="60"/>
      <c r="AD28" s="60"/>
      <c r="AE28" s="91"/>
      <c r="AF28" s="89"/>
      <c r="AG28" s="60"/>
      <c r="AH28" s="82"/>
      <c r="AI28" s="52">
        <f>SUM(D28:AH28)</f>
        <v>0</v>
      </c>
    </row>
    <row r="29" spans="1:35" ht="17.25" thickBot="1">
      <c r="A29" s="99"/>
      <c r="B29" s="103"/>
      <c r="C29" s="46" t="s">
        <v>34</v>
      </c>
      <c r="D29" s="68"/>
      <c r="E29" s="61"/>
      <c r="F29" s="61"/>
      <c r="G29" s="61"/>
      <c r="H29" s="61"/>
      <c r="I29" s="61"/>
      <c r="J29" s="78"/>
      <c r="K29" s="73"/>
      <c r="L29" s="61"/>
      <c r="M29" s="61"/>
      <c r="N29" s="61"/>
      <c r="O29" s="61"/>
      <c r="P29" s="61"/>
      <c r="Q29" s="78"/>
      <c r="R29" s="73"/>
      <c r="S29" s="73"/>
      <c r="T29" s="73"/>
      <c r="U29" s="73"/>
      <c r="V29" s="61"/>
      <c r="W29" s="61"/>
      <c r="X29" s="78"/>
      <c r="Y29" s="73"/>
      <c r="Z29" s="61"/>
      <c r="AA29" s="61"/>
      <c r="AB29" s="86"/>
      <c r="AC29" s="61"/>
      <c r="AD29" s="61"/>
      <c r="AE29" s="93"/>
      <c r="AF29" s="63"/>
      <c r="AG29" s="61"/>
      <c r="AH29" s="83"/>
      <c r="AI29" s="53">
        <f>SUM(D29:AH29)</f>
        <v>0</v>
      </c>
    </row>
    <row r="30" spans="1:35" ht="18" customHeight="1"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8"/>
      <c r="AE30" s="18"/>
      <c r="AF30" s="18"/>
      <c r="AG30" s="18"/>
      <c r="AH30" s="18"/>
      <c r="AI30" s="17"/>
    </row>
  </sheetData>
  <mergeCells count="77">
    <mergeCell ref="B1:G2"/>
    <mergeCell ref="B3:M3"/>
    <mergeCell ref="N3:Y3"/>
    <mergeCell ref="B4:G4"/>
    <mergeCell ref="H4:J4"/>
    <mergeCell ref="K4:M4"/>
    <mergeCell ref="N4:S4"/>
    <mergeCell ref="T4:Y4"/>
    <mergeCell ref="B5:G5"/>
    <mergeCell ref="H5:J5"/>
    <mergeCell ref="K5:M5"/>
    <mergeCell ref="N5:S5"/>
    <mergeCell ref="T5:Y5"/>
    <mergeCell ref="B6:G6"/>
    <mergeCell ref="H6:J6"/>
    <mergeCell ref="K6:M6"/>
    <mergeCell ref="N6:S6"/>
    <mergeCell ref="T6:Y6"/>
    <mergeCell ref="B7:G7"/>
    <mergeCell ref="H7:J7"/>
    <mergeCell ref="K7:M7"/>
    <mergeCell ref="N7:S7"/>
    <mergeCell ref="T7:Y7"/>
    <mergeCell ref="B9:G9"/>
    <mergeCell ref="H9:J9"/>
    <mergeCell ref="K9:M9"/>
    <mergeCell ref="N9:S9"/>
    <mergeCell ref="T9:Y9"/>
    <mergeCell ref="B8:G8"/>
    <mergeCell ref="H8:J8"/>
    <mergeCell ref="K8:M8"/>
    <mergeCell ref="N8:S8"/>
    <mergeCell ref="T8:Y8"/>
    <mergeCell ref="B10:G10"/>
    <mergeCell ref="H10:M10"/>
    <mergeCell ref="N10:S10"/>
    <mergeCell ref="T10:Y10"/>
    <mergeCell ref="B11:G11"/>
    <mergeCell ref="H11:M11"/>
    <mergeCell ref="N11:S11"/>
    <mergeCell ref="T11:Y11"/>
    <mergeCell ref="B12:G12"/>
    <mergeCell ref="H12:M12"/>
    <mergeCell ref="N12:S12"/>
    <mergeCell ref="T12:Y12"/>
    <mergeCell ref="B13:G13"/>
    <mergeCell ref="H13:M13"/>
    <mergeCell ref="N13:S13"/>
    <mergeCell ref="T13:Y13"/>
    <mergeCell ref="B14:G14"/>
    <mergeCell ref="H14:M14"/>
    <mergeCell ref="N14:S14"/>
    <mergeCell ref="T14:Y14"/>
    <mergeCell ref="B15:G15"/>
    <mergeCell ref="H15:M15"/>
    <mergeCell ref="N15:S15"/>
    <mergeCell ref="T15:Y15"/>
    <mergeCell ref="B16:G16"/>
    <mergeCell ref="H16:M16"/>
    <mergeCell ref="N16:S16"/>
    <mergeCell ref="T16:Y16"/>
    <mergeCell ref="B17:G17"/>
    <mergeCell ref="H17:M17"/>
    <mergeCell ref="N17:S17"/>
    <mergeCell ref="T17:Y17"/>
    <mergeCell ref="AI23:AI24"/>
    <mergeCell ref="A25:A29"/>
    <mergeCell ref="B25:B29"/>
    <mergeCell ref="AD17:AE17"/>
    <mergeCell ref="N18:Y18"/>
    <mergeCell ref="P19:S20"/>
    <mergeCell ref="T19:W20"/>
    <mergeCell ref="N21:Y21"/>
    <mergeCell ref="AD22:AG22"/>
    <mergeCell ref="A23:A24"/>
    <mergeCell ref="B23:B24"/>
    <mergeCell ref="C23:C24"/>
  </mergeCells>
  <phoneticPr fontId="2" type="noConversion"/>
  <pageMargins left="0.7" right="0.7" top="0.75" bottom="0.75" header="0.3" footer="0.3"/>
  <pageSetup paperSize="9" scale="73" orientation="landscape" horizont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J30"/>
  <sheetViews>
    <sheetView showGridLines="0" showZeros="0" zoomScale="90" zoomScaleNormal="90" workbookViewId="0">
      <selection activeCell="X35" sqref="X35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9" customWidth="1"/>
    <col min="32" max="34" width="4.625" style="9" hidden="1" customWidth="1"/>
    <col min="35" max="35" width="6" style="1" customWidth="1"/>
    <col min="36" max="36" width="4.25" style="1" customWidth="1"/>
    <col min="37" max="38" width="3.75" style="1" customWidth="1"/>
    <col min="39" max="62" width="3.25" style="1" customWidth="1"/>
    <col min="63" max="65" width="2.125" style="1" customWidth="1"/>
    <col min="66" max="16384" width="3.625" style="1"/>
  </cols>
  <sheetData>
    <row r="1" spans="2:36" ht="16.5" customHeight="1">
      <c r="B1" s="149" t="s">
        <v>44</v>
      </c>
      <c r="C1" s="149"/>
      <c r="D1" s="149"/>
      <c r="E1" s="149"/>
      <c r="F1" s="149"/>
      <c r="G1" s="149"/>
    </row>
    <row r="2" spans="2:36" ht="17.25" customHeight="1" thickBot="1">
      <c r="B2" s="150"/>
      <c r="C2" s="150"/>
      <c r="D2" s="150"/>
      <c r="E2" s="150"/>
      <c r="F2" s="150"/>
      <c r="G2" s="150"/>
    </row>
    <row r="3" spans="2:36" ht="16.5">
      <c r="B3" s="151" t="s">
        <v>0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 t="s">
        <v>1</v>
      </c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3"/>
    </row>
    <row r="4" spans="2:36" ht="16.5" customHeight="1">
      <c r="B4" s="135" t="s">
        <v>2</v>
      </c>
      <c r="C4" s="136"/>
      <c r="D4" s="136"/>
      <c r="E4" s="136"/>
      <c r="F4" s="136"/>
      <c r="G4" s="137"/>
      <c r="H4" s="148">
        <f>AI25</f>
        <v>192</v>
      </c>
      <c r="I4" s="148"/>
      <c r="J4" s="148"/>
      <c r="K4" s="117">
        <f>H4*10320</f>
        <v>1981440</v>
      </c>
      <c r="L4" s="117"/>
      <c r="M4" s="117"/>
      <c r="N4" s="137" t="s">
        <v>29</v>
      </c>
      <c r="O4" s="142"/>
      <c r="P4" s="142"/>
      <c r="Q4" s="142"/>
      <c r="R4" s="142"/>
      <c r="S4" s="143"/>
      <c r="T4" s="126">
        <v>99750</v>
      </c>
      <c r="U4" s="127"/>
      <c r="V4" s="127"/>
      <c r="W4" s="127"/>
      <c r="X4" s="127"/>
      <c r="Y4" s="144"/>
    </row>
    <row r="5" spans="2:36" ht="16.5" customHeight="1">
      <c r="B5" s="141" t="s">
        <v>3</v>
      </c>
      <c r="C5" s="142"/>
      <c r="D5" s="142"/>
      <c r="E5" s="142"/>
      <c r="F5" s="142"/>
      <c r="G5" s="143"/>
      <c r="H5" s="148">
        <f>AI26</f>
        <v>14</v>
      </c>
      <c r="I5" s="148"/>
      <c r="J5" s="148"/>
      <c r="K5" s="117">
        <f>H5*10320*1.5</f>
        <v>216720</v>
      </c>
      <c r="L5" s="117"/>
      <c r="M5" s="117"/>
      <c r="N5" s="137" t="s">
        <v>30</v>
      </c>
      <c r="O5" s="142"/>
      <c r="P5" s="142"/>
      <c r="Q5" s="142"/>
      <c r="R5" s="142"/>
      <c r="S5" s="143"/>
      <c r="T5" s="126">
        <f>H17*3.595%</f>
        <v>100303.376</v>
      </c>
      <c r="U5" s="127"/>
      <c r="V5" s="127"/>
      <c r="W5" s="127"/>
      <c r="X5" s="127"/>
      <c r="Y5" s="144"/>
    </row>
    <row r="6" spans="2:36" ht="16.5" customHeight="1">
      <c r="B6" s="141" t="s">
        <v>4</v>
      </c>
      <c r="C6" s="142"/>
      <c r="D6" s="142"/>
      <c r="E6" s="142"/>
      <c r="F6" s="142"/>
      <c r="G6" s="143"/>
      <c r="H6" s="148"/>
      <c r="I6" s="148"/>
      <c r="J6" s="148"/>
      <c r="K6" s="117"/>
      <c r="L6" s="117"/>
      <c r="M6" s="117"/>
      <c r="N6" s="137" t="s">
        <v>17</v>
      </c>
      <c r="O6" s="142"/>
      <c r="P6" s="142"/>
      <c r="Q6" s="142"/>
      <c r="R6" s="142"/>
      <c r="S6" s="143"/>
      <c r="T6" s="126">
        <f>T5*13.14%</f>
        <v>13179.863606400002</v>
      </c>
      <c r="U6" s="127"/>
      <c r="V6" s="127"/>
      <c r="W6" s="127"/>
      <c r="X6" s="127"/>
      <c r="Y6" s="144"/>
      <c r="AJ6" s="47"/>
    </row>
    <row r="7" spans="2:36" ht="16.5" customHeight="1">
      <c r="B7" s="141" t="s">
        <v>5</v>
      </c>
      <c r="C7" s="142"/>
      <c r="D7" s="142"/>
      <c r="E7" s="142"/>
      <c r="F7" s="142"/>
      <c r="G7" s="143"/>
      <c r="H7" s="148">
        <f>AI27</f>
        <v>32</v>
      </c>
      <c r="I7" s="148"/>
      <c r="J7" s="148"/>
      <c r="K7" s="117">
        <f>H7*10320*1.5</f>
        <v>495360</v>
      </c>
      <c r="L7" s="117"/>
      <c r="M7" s="117"/>
      <c r="N7" s="137" t="s">
        <v>31</v>
      </c>
      <c r="O7" s="142"/>
      <c r="P7" s="142"/>
      <c r="Q7" s="142"/>
      <c r="R7" s="142"/>
      <c r="S7" s="143"/>
      <c r="T7" s="126">
        <f>H17*0.9%</f>
        <v>25110.720000000001</v>
      </c>
      <c r="U7" s="127"/>
      <c r="V7" s="127"/>
      <c r="W7" s="127"/>
      <c r="X7" s="127"/>
      <c r="Y7" s="144"/>
      <c r="AJ7" s="47"/>
    </row>
    <row r="8" spans="2:36" ht="16.5" customHeight="1">
      <c r="B8" s="141" t="s">
        <v>6</v>
      </c>
      <c r="C8" s="142"/>
      <c r="D8" s="142"/>
      <c r="E8" s="142"/>
      <c r="F8" s="142"/>
      <c r="G8" s="143"/>
      <c r="H8" s="145"/>
      <c r="I8" s="146"/>
      <c r="J8" s="147"/>
      <c r="K8" s="126">
        <f>H8*9860*2</f>
        <v>0</v>
      </c>
      <c r="L8" s="127"/>
      <c r="M8" s="128"/>
      <c r="N8" s="137" t="s">
        <v>32</v>
      </c>
      <c r="O8" s="142"/>
      <c r="P8" s="142"/>
      <c r="Q8" s="142"/>
      <c r="R8" s="142"/>
      <c r="S8" s="143"/>
      <c r="T8" s="126">
        <v>55950</v>
      </c>
      <c r="U8" s="127"/>
      <c r="V8" s="127"/>
      <c r="W8" s="127"/>
      <c r="X8" s="127"/>
      <c r="Y8" s="144"/>
      <c r="AJ8" s="47"/>
    </row>
    <row r="9" spans="2:36" ht="16.5" customHeight="1">
      <c r="B9" s="141" t="s">
        <v>28</v>
      </c>
      <c r="C9" s="142"/>
      <c r="D9" s="142"/>
      <c r="E9" s="142"/>
      <c r="F9" s="142"/>
      <c r="G9" s="143"/>
      <c r="H9" s="145">
        <f>AI29</f>
        <v>0</v>
      </c>
      <c r="I9" s="146"/>
      <c r="J9" s="147"/>
      <c r="K9" s="117"/>
      <c r="L9" s="117"/>
      <c r="M9" s="117"/>
      <c r="N9" s="136" t="s">
        <v>33</v>
      </c>
      <c r="O9" s="136"/>
      <c r="P9" s="136"/>
      <c r="Q9" s="136"/>
      <c r="R9" s="136"/>
      <c r="S9" s="136"/>
      <c r="T9" s="126">
        <f>T8*10%</f>
        <v>5595</v>
      </c>
      <c r="U9" s="127"/>
      <c r="V9" s="127"/>
      <c r="W9" s="127"/>
      <c r="X9" s="127"/>
      <c r="Y9" s="144"/>
      <c r="AJ9" s="9"/>
    </row>
    <row r="10" spans="2:36" ht="16.5" customHeight="1">
      <c r="B10" s="141" t="s">
        <v>35</v>
      </c>
      <c r="C10" s="142"/>
      <c r="D10" s="142"/>
      <c r="E10" s="142"/>
      <c r="F10" s="142"/>
      <c r="G10" s="143"/>
      <c r="H10" s="126">
        <v>82560</v>
      </c>
      <c r="I10" s="127"/>
      <c r="J10" s="127"/>
      <c r="K10" s="127"/>
      <c r="L10" s="127"/>
      <c r="M10" s="128"/>
      <c r="N10" s="136" t="s">
        <v>63</v>
      </c>
      <c r="O10" s="136"/>
      <c r="P10" s="136"/>
      <c r="Q10" s="136"/>
      <c r="R10" s="136"/>
      <c r="S10" s="136"/>
      <c r="T10" s="117">
        <v>2563231</v>
      </c>
      <c r="U10" s="117"/>
      <c r="V10" s="117"/>
      <c r="W10" s="117"/>
      <c r="X10" s="117"/>
      <c r="Y10" s="118"/>
      <c r="Z10" s="2"/>
      <c r="AA10" s="2"/>
    </row>
    <row r="11" spans="2:36" ht="16.5" customHeight="1">
      <c r="B11" s="141" t="s">
        <v>60</v>
      </c>
      <c r="C11" s="142"/>
      <c r="D11" s="142"/>
      <c r="E11" s="142"/>
      <c r="F11" s="142"/>
      <c r="G11" s="143"/>
      <c r="H11" s="126">
        <v>14000</v>
      </c>
      <c r="I11" s="127"/>
      <c r="J11" s="127"/>
      <c r="K11" s="127"/>
      <c r="L11" s="127"/>
      <c r="M11" s="128"/>
      <c r="N11" s="136" t="s">
        <v>77</v>
      </c>
      <c r="O11" s="136"/>
      <c r="P11" s="136"/>
      <c r="Q11" s="136"/>
      <c r="R11" s="136"/>
      <c r="S11" s="136"/>
      <c r="T11" s="126">
        <v>-73040</v>
      </c>
      <c r="U11" s="127"/>
      <c r="V11" s="127"/>
      <c r="W11" s="127"/>
      <c r="X11" s="127"/>
      <c r="Y11" s="144"/>
      <c r="Z11" s="2"/>
      <c r="AA11" s="2"/>
    </row>
    <row r="12" spans="2:36" ht="16.5">
      <c r="B12" s="135"/>
      <c r="C12" s="136"/>
      <c r="D12" s="136"/>
      <c r="E12" s="136"/>
      <c r="F12" s="136"/>
      <c r="G12" s="137"/>
      <c r="H12" s="117"/>
      <c r="I12" s="117"/>
      <c r="J12" s="117"/>
      <c r="K12" s="117"/>
      <c r="L12" s="117"/>
      <c r="M12" s="117"/>
      <c r="N12" s="138"/>
      <c r="O12" s="138"/>
      <c r="P12" s="138"/>
      <c r="Q12" s="138"/>
      <c r="R12" s="138"/>
      <c r="S12" s="138"/>
      <c r="T12" s="139"/>
      <c r="U12" s="139"/>
      <c r="V12" s="139"/>
      <c r="W12" s="139"/>
      <c r="X12" s="139"/>
      <c r="Y12" s="140"/>
      <c r="Z12" s="2"/>
      <c r="AA12" s="2"/>
    </row>
    <row r="13" spans="2:36" ht="16.5" customHeight="1">
      <c r="B13" s="114"/>
      <c r="C13" s="115"/>
      <c r="D13" s="115"/>
      <c r="E13" s="115"/>
      <c r="F13" s="115"/>
      <c r="G13" s="116"/>
      <c r="H13" s="126"/>
      <c r="I13" s="127"/>
      <c r="J13" s="127"/>
      <c r="K13" s="127"/>
      <c r="L13" s="127"/>
      <c r="M13" s="127"/>
      <c r="N13" s="115"/>
      <c r="O13" s="115"/>
      <c r="P13" s="115"/>
      <c r="Q13" s="115"/>
      <c r="R13" s="115"/>
      <c r="S13" s="115"/>
      <c r="T13" s="117"/>
      <c r="U13" s="117"/>
      <c r="V13" s="117"/>
      <c r="W13" s="117"/>
      <c r="X13" s="117"/>
      <c r="Y13" s="118"/>
      <c r="Z13" s="2"/>
      <c r="AA13" s="2"/>
    </row>
    <row r="14" spans="2:36" ht="16.5">
      <c r="B14" s="124"/>
      <c r="C14" s="125"/>
      <c r="D14" s="125"/>
      <c r="E14" s="125"/>
      <c r="F14" s="125"/>
      <c r="G14" s="125"/>
      <c r="H14" s="126"/>
      <c r="I14" s="127"/>
      <c r="J14" s="127"/>
      <c r="K14" s="127"/>
      <c r="L14" s="127"/>
      <c r="M14" s="128"/>
      <c r="N14" s="129"/>
      <c r="O14" s="130"/>
      <c r="P14" s="130"/>
      <c r="Q14" s="130"/>
      <c r="R14" s="130"/>
      <c r="S14" s="131"/>
      <c r="T14" s="132"/>
      <c r="U14" s="133"/>
      <c r="V14" s="133"/>
      <c r="W14" s="133"/>
      <c r="X14" s="133"/>
      <c r="Y14" s="134"/>
      <c r="Z14" s="2"/>
      <c r="AA14" s="2"/>
    </row>
    <row r="15" spans="2:36" ht="16.5">
      <c r="B15" s="114"/>
      <c r="C15" s="115"/>
      <c r="D15" s="115"/>
      <c r="E15" s="115"/>
      <c r="F15" s="115"/>
      <c r="G15" s="116"/>
      <c r="H15" s="117"/>
      <c r="I15" s="117"/>
      <c r="J15" s="117"/>
      <c r="K15" s="117"/>
      <c r="L15" s="117"/>
      <c r="M15" s="117"/>
      <c r="N15" s="115"/>
      <c r="O15" s="115"/>
      <c r="P15" s="115"/>
      <c r="Q15" s="115"/>
      <c r="R15" s="115"/>
      <c r="S15" s="115"/>
      <c r="T15" s="117"/>
      <c r="U15" s="117"/>
      <c r="V15" s="117"/>
      <c r="W15" s="117"/>
      <c r="X15" s="117"/>
      <c r="Y15" s="118"/>
      <c r="Z15" s="2"/>
      <c r="AA15" s="2"/>
    </row>
    <row r="16" spans="2:36" ht="16.5">
      <c r="B16" s="114"/>
      <c r="C16" s="115"/>
      <c r="D16" s="115"/>
      <c r="E16" s="115"/>
      <c r="F16" s="115"/>
      <c r="G16" s="116"/>
      <c r="H16" s="117"/>
      <c r="I16" s="117"/>
      <c r="J16" s="117"/>
      <c r="K16" s="117"/>
      <c r="L16" s="117"/>
      <c r="M16" s="117"/>
      <c r="N16" s="115" t="s">
        <v>7</v>
      </c>
      <c r="O16" s="115"/>
      <c r="P16" s="115"/>
      <c r="Q16" s="115"/>
      <c r="R16" s="115"/>
      <c r="S16" s="115"/>
      <c r="T16" s="117">
        <f>SUM(T4:Y12)</f>
        <v>2790079.9596063998</v>
      </c>
      <c r="U16" s="117"/>
      <c r="V16" s="117"/>
      <c r="W16" s="117"/>
      <c r="X16" s="117"/>
      <c r="Y16" s="118"/>
      <c r="Z16" s="9"/>
      <c r="AA16" s="9"/>
    </row>
    <row r="17" spans="1:35" ht="17.25" thickBot="1">
      <c r="B17" s="119" t="s">
        <v>8</v>
      </c>
      <c r="C17" s="120"/>
      <c r="D17" s="120"/>
      <c r="E17" s="120"/>
      <c r="F17" s="120"/>
      <c r="G17" s="121"/>
      <c r="H17" s="122">
        <f>SUM(K4,K5,K6,K7,K8,K9,H10,H11,H12,H13,H14,H15,H16)</f>
        <v>2790080</v>
      </c>
      <c r="I17" s="122"/>
      <c r="J17" s="122"/>
      <c r="K17" s="122"/>
      <c r="L17" s="122"/>
      <c r="M17" s="122"/>
      <c r="N17" s="120" t="s">
        <v>9</v>
      </c>
      <c r="O17" s="120"/>
      <c r="P17" s="120"/>
      <c r="Q17" s="120"/>
      <c r="R17" s="120"/>
      <c r="S17" s="120"/>
      <c r="T17" s="122">
        <f>H17-T16</f>
        <v>4.039360024034977E-2</v>
      </c>
      <c r="U17" s="122"/>
      <c r="V17" s="122"/>
      <c r="W17" s="122"/>
      <c r="X17" s="122"/>
      <c r="Y17" s="123"/>
      <c r="Z17" s="9"/>
      <c r="AA17" s="9"/>
      <c r="AD17" s="104"/>
      <c r="AE17" s="104"/>
    </row>
    <row r="18" spans="1:35" ht="21.75" customHeight="1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9"/>
      <c r="AA18" s="9"/>
    </row>
    <row r="19" spans="1:35" ht="16.5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O19" s="3"/>
      <c r="P19" s="106" t="s">
        <v>10</v>
      </c>
      <c r="Q19" s="104"/>
      <c r="R19" s="104"/>
      <c r="S19" s="104"/>
      <c r="T19" s="107" t="s">
        <v>58</v>
      </c>
      <c r="U19" s="107"/>
      <c r="V19" s="107"/>
      <c r="W19" s="107"/>
      <c r="Z19" s="9"/>
      <c r="AA19" s="4"/>
    </row>
    <row r="20" spans="1:35" ht="16.5"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P20" s="104"/>
      <c r="Q20" s="104"/>
      <c r="R20" s="104"/>
      <c r="S20" s="104"/>
      <c r="T20" s="107"/>
      <c r="U20" s="107"/>
      <c r="V20" s="107"/>
      <c r="W20" s="107"/>
      <c r="Z20" s="9"/>
      <c r="AA20" s="4"/>
    </row>
    <row r="21" spans="1:35" ht="17.25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108" t="s">
        <v>26</v>
      </c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9"/>
      <c r="AA21" s="9"/>
    </row>
    <row r="22" spans="1:35" s="12" customFormat="1" ht="17.25" thickBot="1">
      <c r="X22" s="13"/>
      <c r="AD22" s="109"/>
      <c r="AE22" s="109"/>
      <c r="AF22" s="109"/>
      <c r="AG22" s="109"/>
      <c r="AH22" s="14"/>
    </row>
    <row r="23" spans="1:35" ht="16.5" customHeight="1">
      <c r="A23" s="110"/>
      <c r="B23" s="111" t="s">
        <v>11</v>
      </c>
      <c r="C23" s="112" t="s">
        <v>12</v>
      </c>
      <c r="D23" s="64">
        <v>1</v>
      </c>
      <c r="E23" s="57">
        <v>2</v>
      </c>
      <c r="F23" s="57">
        <v>3</v>
      </c>
      <c r="G23" s="57">
        <v>4</v>
      </c>
      <c r="H23" s="57">
        <v>5</v>
      </c>
      <c r="I23" s="57">
        <v>6</v>
      </c>
      <c r="J23" s="74">
        <v>7</v>
      </c>
      <c r="K23" s="69">
        <v>8</v>
      </c>
      <c r="L23" s="57">
        <v>9</v>
      </c>
      <c r="M23" s="57">
        <v>10</v>
      </c>
      <c r="N23" s="57">
        <v>11</v>
      </c>
      <c r="O23" s="57">
        <v>12</v>
      </c>
      <c r="P23" s="57">
        <v>13</v>
      </c>
      <c r="Q23" s="74">
        <v>14</v>
      </c>
      <c r="R23" s="69">
        <v>15</v>
      </c>
      <c r="S23" s="69">
        <v>16</v>
      </c>
      <c r="T23" s="69">
        <v>17</v>
      </c>
      <c r="U23" s="69">
        <v>18</v>
      </c>
      <c r="V23" s="57">
        <v>19</v>
      </c>
      <c r="W23" s="57">
        <v>20</v>
      </c>
      <c r="X23" s="74">
        <v>21</v>
      </c>
      <c r="Y23" s="69">
        <v>22</v>
      </c>
      <c r="Z23" s="57">
        <v>23</v>
      </c>
      <c r="AA23" s="57">
        <v>24</v>
      </c>
      <c r="AB23" s="85">
        <v>25</v>
      </c>
      <c r="AC23" s="57">
        <v>26</v>
      </c>
      <c r="AD23" s="57">
        <v>27</v>
      </c>
      <c r="AE23" s="74">
        <v>28</v>
      </c>
      <c r="AF23" s="57">
        <v>29</v>
      </c>
      <c r="AG23" s="57">
        <v>30</v>
      </c>
      <c r="AH23" s="79">
        <v>31</v>
      </c>
      <c r="AI23" s="97" t="s">
        <v>18</v>
      </c>
    </row>
    <row r="24" spans="1:35" ht="16.5" customHeight="1" thickBot="1">
      <c r="A24" s="110"/>
      <c r="B24" s="103"/>
      <c r="C24" s="113"/>
      <c r="D24" s="65" t="s">
        <v>72</v>
      </c>
      <c r="E24" s="58" t="s">
        <v>73</v>
      </c>
      <c r="F24" s="58" t="s">
        <v>19</v>
      </c>
      <c r="G24" s="58" t="s">
        <v>20</v>
      </c>
      <c r="H24" s="58" t="s">
        <v>21</v>
      </c>
      <c r="I24" s="58" t="s">
        <v>22</v>
      </c>
      <c r="J24" s="75" t="s">
        <v>23</v>
      </c>
      <c r="K24" s="70" t="s">
        <v>24</v>
      </c>
      <c r="L24" s="58" t="s">
        <v>25</v>
      </c>
      <c r="M24" s="58" t="s">
        <v>19</v>
      </c>
      <c r="N24" s="58" t="s">
        <v>20</v>
      </c>
      <c r="O24" s="58" t="s">
        <v>21</v>
      </c>
      <c r="P24" s="58" t="s">
        <v>22</v>
      </c>
      <c r="Q24" s="75" t="s">
        <v>23</v>
      </c>
      <c r="R24" s="70" t="s">
        <v>24</v>
      </c>
      <c r="S24" s="70" t="s">
        <v>25</v>
      </c>
      <c r="T24" s="70" t="s">
        <v>19</v>
      </c>
      <c r="U24" s="70" t="s">
        <v>20</v>
      </c>
      <c r="V24" s="58" t="s">
        <v>21</v>
      </c>
      <c r="W24" s="58" t="s">
        <v>22</v>
      </c>
      <c r="X24" s="75" t="s">
        <v>23</v>
      </c>
      <c r="Y24" s="70" t="s">
        <v>24</v>
      </c>
      <c r="Z24" s="58" t="s">
        <v>25</v>
      </c>
      <c r="AA24" s="58" t="s">
        <v>19</v>
      </c>
      <c r="AB24" s="58" t="s">
        <v>20</v>
      </c>
      <c r="AC24" s="58" t="s">
        <v>21</v>
      </c>
      <c r="AD24" s="58" t="s">
        <v>22</v>
      </c>
      <c r="AE24" s="75" t="s">
        <v>23</v>
      </c>
      <c r="AF24" s="58" t="s">
        <v>21</v>
      </c>
      <c r="AG24" s="58" t="s">
        <v>22</v>
      </c>
      <c r="AH24" s="80" t="s">
        <v>47</v>
      </c>
      <c r="AI24" s="98"/>
    </row>
    <row r="25" spans="1:35" ht="16.5">
      <c r="A25" s="99"/>
      <c r="B25" s="100" t="str">
        <f>T19</f>
        <v>조행연</v>
      </c>
      <c r="C25" s="34" t="s">
        <v>13</v>
      </c>
      <c r="D25" s="66">
        <v>8</v>
      </c>
      <c r="E25" s="59">
        <v>8</v>
      </c>
      <c r="F25" s="59">
        <v>8</v>
      </c>
      <c r="G25" s="59">
        <v>8</v>
      </c>
      <c r="H25" s="59">
        <v>8</v>
      </c>
      <c r="I25" s="59">
        <v>8</v>
      </c>
      <c r="J25" s="76"/>
      <c r="K25" s="71">
        <v>8</v>
      </c>
      <c r="L25" s="59">
        <v>8</v>
      </c>
      <c r="M25" s="59">
        <v>8</v>
      </c>
      <c r="N25" s="59">
        <v>8</v>
      </c>
      <c r="O25" s="59">
        <v>8</v>
      </c>
      <c r="P25" s="59">
        <v>8</v>
      </c>
      <c r="Q25" s="76"/>
      <c r="R25" s="71">
        <v>8</v>
      </c>
      <c r="S25" s="71">
        <v>8</v>
      </c>
      <c r="T25" s="71">
        <v>8</v>
      </c>
      <c r="U25" s="71">
        <v>8</v>
      </c>
      <c r="V25" s="59">
        <v>8</v>
      </c>
      <c r="W25" s="59">
        <v>8</v>
      </c>
      <c r="X25" s="76"/>
      <c r="Y25" s="71">
        <v>8</v>
      </c>
      <c r="Z25" s="59">
        <v>8</v>
      </c>
      <c r="AA25" s="59">
        <v>8</v>
      </c>
      <c r="AB25" s="59">
        <v>8</v>
      </c>
      <c r="AC25" s="59">
        <v>8</v>
      </c>
      <c r="AD25" s="59">
        <v>8</v>
      </c>
      <c r="AE25" s="90"/>
      <c r="AF25" s="88"/>
      <c r="AG25" s="59"/>
      <c r="AH25" s="81"/>
      <c r="AI25" s="51">
        <f>SUM(D25:AH25)</f>
        <v>192</v>
      </c>
    </row>
    <row r="26" spans="1:35" ht="16.5">
      <c r="A26" s="99"/>
      <c r="B26" s="101"/>
      <c r="C26" s="35" t="s">
        <v>14</v>
      </c>
      <c r="D26" s="67"/>
      <c r="E26" s="60">
        <v>2</v>
      </c>
      <c r="F26" s="60"/>
      <c r="G26" s="60">
        <v>2</v>
      </c>
      <c r="H26" s="60">
        <v>2</v>
      </c>
      <c r="I26" s="60"/>
      <c r="J26" s="77"/>
      <c r="K26" s="72"/>
      <c r="L26" s="60">
        <v>2</v>
      </c>
      <c r="M26" s="60">
        <v>2</v>
      </c>
      <c r="N26" s="60"/>
      <c r="O26" s="60">
        <v>2</v>
      </c>
      <c r="P26" s="60"/>
      <c r="Q26" s="77"/>
      <c r="R26" s="72"/>
      <c r="S26" s="72"/>
      <c r="T26" s="72"/>
      <c r="U26" s="72"/>
      <c r="V26" s="60"/>
      <c r="W26" s="60"/>
      <c r="X26" s="77"/>
      <c r="Y26" s="72"/>
      <c r="Z26" s="60"/>
      <c r="AA26" s="60"/>
      <c r="AB26" s="60"/>
      <c r="AC26" s="60"/>
      <c r="AD26" s="60">
        <v>2</v>
      </c>
      <c r="AE26" s="91"/>
      <c r="AF26" s="89"/>
      <c r="AG26" s="60"/>
      <c r="AH26" s="82"/>
      <c r="AI26" s="52">
        <f>SUM(D26:AH26)</f>
        <v>14</v>
      </c>
    </row>
    <row r="27" spans="1:35" ht="16.5">
      <c r="A27" s="99"/>
      <c r="B27" s="101"/>
      <c r="C27" s="35" t="s">
        <v>15</v>
      </c>
      <c r="D27" s="67"/>
      <c r="E27" s="60"/>
      <c r="F27" s="60"/>
      <c r="G27" s="60"/>
      <c r="H27" s="60"/>
      <c r="I27" s="60"/>
      <c r="J27" s="77">
        <v>8</v>
      </c>
      <c r="K27" s="72"/>
      <c r="L27" s="60"/>
      <c r="M27" s="60"/>
      <c r="N27" s="60"/>
      <c r="O27" s="60"/>
      <c r="P27" s="60"/>
      <c r="Q27" s="77">
        <v>8</v>
      </c>
      <c r="R27" s="72"/>
      <c r="S27" s="72"/>
      <c r="T27" s="72"/>
      <c r="U27" s="72"/>
      <c r="V27" s="60"/>
      <c r="W27" s="60"/>
      <c r="X27" s="77">
        <v>8</v>
      </c>
      <c r="Y27" s="72"/>
      <c r="Z27" s="60"/>
      <c r="AA27" s="60"/>
      <c r="AB27" s="60"/>
      <c r="AC27" s="60"/>
      <c r="AD27" s="60"/>
      <c r="AE27" s="91">
        <v>8</v>
      </c>
      <c r="AF27" s="89"/>
      <c r="AG27" s="60"/>
      <c r="AH27" s="82"/>
      <c r="AI27" s="52">
        <f>SUM(D27:AH27)</f>
        <v>32</v>
      </c>
    </row>
    <row r="28" spans="1:35" ht="16.5">
      <c r="A28" s="99"/>
      <c r="B28" s="102"/>
      <c r="C28" s="15" t="s">
        <v>27</v>
      </c>
      <c r="D28" s="67"/>
      <c r="E28" s="60"/>
      <c r="F28" s="60"/>
      <c r="G28" s="60"/>
      <c r="H28" s="60"/>
      <c r="I28" s="60"/>
      <c r="J28" s="77"/>
      <c r="K28" s="72"/>
      <c r="L28" s="60"/>
      <c r="M28" s="60"/>
      <c r="N28" s="60"/>
      <c r="O28" s="60"/>
      <c r="P28" s="60"/>
      <c r="Q28" s="77"/>
      <c r="R28" s="72"/>
      <c r="S28" s="72"/>
      <c r="T28" s="72"/>
      <c r="U28" s="72"/>
      <c r="V28" s="60"/>
      <c r="W28" s="60"/>
      <c r="X28" s="77"/>
      <c r="Y28" s="72"/>
      <c r="Z28" s="60"/>
      <c r="AA28" s="60"/>
      <c r="AB28" s="60"/>
      <c r="AC28" s="60"/>
      <c r="AD28" s="60"/>
      <c r="AE28" s="91"/>
      <c r="AF28" s="89"/>
      <c r="AG28" s="60"/>
      <c r="AH28" s="82"/>
      <c r="AI28" s="52">
        <f>SUM(D28:AH28)</f>
        <v>0</v>
      </c>
    </row>
    <row r="29" spans="1:35" ht="17.25" thickBot="1">
      <c r="A29" s="99"/>
      <c r="B29" s="103"/>
      <c r="C29" s="46" t="s">
        <v>34</v>
      </c>
      <c r="D29" s="68"/>
      <c r="E29" s="61"/>
      <c r="F29" s="61"/>
      <c r="G29" s="61"/>
      <c r="H29" s="61"/>
      <c r="I29" s="61"/>
      <c r="J29" s="78"/>
      <c r="K29" s="73"/>
      <c r="L29" s="84"/>
      <c r="M29" s="61"/>
      <c r="N29" s="61"/>
      <c r="O29" s="61"/>
      <c r="P29" s="61"/>
      <c r="Q29" s="78"/>
      <c r="R29" s="73"/>
      <c r="S29" s="73"/>
      <c r="T29" s="73"/>
      <c r="U29" s="73"/>
      <c r="V29" s="61"/>
      <c r="W29" s="61"/>
      <c r="X29" s="78"/>
      <c r="Y29" s="73"/>
      <c r="Z29" s="61"/>
      <c r="AA29" s="61"/>
      <c r="AB29" s="86"/>
      <c r="AC29" s="61"/>
      <c r="AD29" s="61"/>
      <c r="AE29" s="92"/>
      <c r="AF29" s="63"/>
      <c r="AG29" s="61"/>
      <c r="AH29" s="83"/>
      <c r="AI29" s="53">
        <f>SUM(D29:AH29)</f>
        <v>0</v>
      </c>
    </row>
    <row r="30" spans="1:35" ht="18" customHeight="1"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8"/>
      <c r="AE30" s="18"/>
      <c r="AF30" s="18"/>
      <c r="AG30" s="18"/>
      <c r="AH30" s="18"/>
      <c r="AI30" s="17"/>
    </row>
  </sheetData>
  <mergeCells count="77">
    <mergeCell ref="B1:G2"/>
    <mergeCell ref="B3:M3"/>
    <mergeCell ref="N3:Y3"/>
    <mergeCell ref="B4:G4"/>
    <mergeCell ref="H4:J4"/>
    <mergeCell ref="K4:M4"/>
    <mergeCell ref="N4:S4"/>
    <mergeCell ref="T4:Y4"/>
    <mergeCell ref="B6:G6"/>
    <mergeCell ref="H6:J6"/>
    <mergeCell ref="K6:M6"/>
    <mergeCell ref="N6:S6"/>
    <mergeCell ref="T6:Y6"/>
    <mergeCell ref="B5:G5"/>
    <mergeCell ref="H5:J5"/>
    <mergeCell ref="K5:M5"/>
    <mergeCell ref="N5:S5"/>
    <mergeCell ref="T5:Y5"/>
    <mergeCell ref="B7:G7"/>
    <mergeCell ref="H7:J7"/>
    <mergeCell ref="K7:M7"/>
    <mergeCell ref="N7:S7"/>
    <mergeCell ref="T7:Y7"/>
    <mergeCell ref="B8:G8"/>
    <mergeCell ref="H8:J8"/>
    <mergeCell ref="K8:M8"/>
    <mergeCell ref="N8:S8"/>
    <mergeCell ref="T8:Y8"/>
    <mergeCell ref="B9:G9"/>
    <mergeCell ref="H9:J9"/>
    <mergeCell ref="K9:M9"/>
    <mergeCell ref="N9:S9"/>
    <mergeCell ref="T9:Y9"/>
    <mergeCell ref="B10:G10"/>
    <mergeCell ref="H10:M10"/>
    <mergeCell ref="N10:S10"/>
    <mergeCell ref="T10:Y10"/>
    <mergeCell ref="B11:G11"/>
    <mergeCell ref="H11:M11"/>
    <mergeCell ref="N11:S11"/>
    <mergeCell ref="T11:Y11"/>
    <mergeCell ref="B12:G12"/>
    <mergeCell ref="H12:M12"/>
    <mergeCell ref="N12:S12"/>
    <mergeCell ref="T12:Y12"/>
    <mergeCell ref="B13:G13"/>
    <mergeCell ref="H13:M13"/>
    <mergeCell ref="N13:S13"/>
    <mergeCell ref="T13:Y13"/>
    <mergeCell ref="B14:G14"/>
    <mergeCell ref="H14:M14"/>
    <mergeCell ref="N14:S14"/>
    <mergeCell ref="T14:Y14"/>
    <mergeCell ref="B15:G15"/>
    <mergeCell ref="H15:M15"/>
    <mergeCell ref="N15:S15"/>
    <mergeCell ref="T15:Y15"/>
    <mergeCell ref="AD22:AG22"/>
    <mergeCell ref="B16:G16"/>
    <mergeCell ref="H16:M16"/>
    <mergeCell ref="N16:S16"/>
    <mergeCell ref="T16:Y16"/>
    <mergeCell ref="B17:G17"/>
    <mergeCell ref="H17:M17"/>
    <mergeCell ref="N17:S17"/>
    <mergeCell ref="T17:Y17"/>
    <mergeCell ref="AD17:AE17"/>
    <mergeCell ref="N18:Y18"/>
    <mergeCell ref="P19:S20"/>
    <mergeCell ref="T19:W20"/>
    <mergeCell ref="N21:Y21"/>
    <mergeCell ref="A23:A24"/>
    <mergeCell ref="B23:B24"/>
    <mergeCell ref="C23:C24"/>
    <mergeCell ref="AI23:AI24"/>
    <mergeCell ref="A25:A29"/>
    <mergeCell ref="B25:B29"/>
  </mergeCells>
  <phoneticPr fontId="2" type="noConversion"/>
  <pageMargins left="0.7" right="0.7" top="0.75" bottom="0.75" header="0.3" footer="0.3"/>
  <pageSetup paperSize="9" scale="73" orientation="landscape" horizont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J30"/>
  <sheetViews>
    <sheetView showGridLines="0" showZeros="0" zoomScale="90" zoomScaleNormal="90" workbookViewId="0">
      <selection activeCell="T10" sqref="T10:Y10"/>
    </sheetView>
  </sheetViews>
  <sheetFormatPr defaultColWidth="3.625" defaultRowHeight="18" customHeight="1"/>
  <cols>
    <col min="1" max="1" width="2.625" style="1" customWidth="1"/>
    <col min="2" max="2" width="3.75" style="1" customWidth="1"/>
    <col min="3" max="3" width="8" style="1" bestFit="1" customWidth="1"/>
    <col min="4" max="29" width="4.625" style="1" customWidth="1"/>
    <col min="30" max="31" width="4.625" style="9" customWidth="1"/>
    <col min="32" max="34" width="4.625" style="9" hidden="1" customWidth="1"/>
    <col min="35" max="35" width="6" style="1" customWidth="1"/>
    <col min="36" max="36" width="4.25" style="1" customWidth="1"/>
    <col min="37" max="38" width="3.75" style="1" customWidth="1"/>
    <col min="39" max="62" width="3.25" style="1" customWidth="1"/>
    <col min="63" max="65" width="2.125" style="1" customWidth="1"/>
    <col min="66" max="16384" width="3.625" style="1"/>
  </cols>
  <sheetData>
    <row r="1" spans="2:36" ht="16.5" customHeight="1">
      <c r="B1" s="149" t="s">
        <v>44</v>
      </c>
      <c r="C1" s="149"/>
      <c r="D1" s="149"/>
      <c r="E1" s="149"/>
      <c r="F1" s="149"/>
      <c r="G1" s="149"/>
    </row>
    <row r="2" spans="2:36" ht="17.25" customHeight="1" thickBot="1">
      <c r="B2" s="150"/>
      <c r="C2" s="150"/>
      <c r="D2" s="150"/>
      <c r="E2" s="150"/>
      <c r="F2" s="150"/>
      <c r="G2" s="150"/>
    </row>
    <row r="3" spans="2:36" ht="16.5">
      <c r="B3" s="151" t="s">
        <v>0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 t="s">
        <v>1</v>
      </c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3"/>
    </row>
    <row r="4" spans="2:36" ht="16.5" customHeight="1">
      <c r="B4" s="135" t="s">
        <v>2</v>
      </c>
      <c r="C4" s="136"/>
      <c r="D4" s="136"/>
      <c r="E4" s="136"/>
      <c r="F4" s="136"/>
      <c r="G4" s="137"/>
      <c r="H4" s="148">
        <f>AI25</f>
        <v>190</v>
      </c>
      <c r="I4" s="148"/>
      <c r="J4" s="148"/>
      <c r="K4" s="117">
        <f>H4*10320</f>
        <v>1960800</v>
      </c>
      <c r="L4" s="117"/>
      <c r="M4" s="117"/>
      <c r="N4" s="137" t="s">
        <v>29</v>
      </c>
      <c r="O4" s="142"/>
      <c r="P4" s="142"/>
      <c r="Q4" s="142"/>
      <c r="R4" s="142"/>
      <c r="S4" s="143"/>
      <c r="T4" s="126">
        <v>99750</v>
      </c>
      <c r="U4" s="127"/>
      <c r="V4" s="127"/>
      <c r="W4" s="127"/>
      <c r="X4" s="127"/>
      <c r="Y4" s="144"/>
    </row>
    <row r="5" spans="2:36" ht="16.5" customHeight="1">
      <c r="B5" s="141" t="s">
        <v>3</v>
      </c>
      <c r="C5" s="142"/>
      <c r="D5" s="142"/>
      <c r="E5" s="142"/>
      <c r="F5" s="142"/>
      <c r="G5" s="143"/>
      <c r="H5" s="148">
        <f>AI26</f>
        <v>14</v>
      </c>
      <c r="I5" s="148"/>
      <c r="J5" s="148"/>
      <c r="K5" s="117">
        <f>H5*10320*1.5</f>
        <v>216720</v>
      </c>
      <c r="L5" s="117"/>
      <c r="M5" s="117"/>
      <c r="N5" s="137" t="s">
        <v>30</v>
      </c>
      <c r="O5" s="142"/>
      <c r="P5" s="142"/>
      <c r="Q5" s="142"/>
      <c r="R5" s="142"/>
      <c r="S5" s="143"/>
      <c r="T5" s="126">
        <f>H17*3.595%</f>
        <v>87689.24</v>
      </c>
      <c r="U5" s="127"/>
      <c r="V5" s="127"/>
      <c r="W5" s="127"/>
      <c r="X5" s="127"/>
      <c r="Y5" s="144"/>
    </row>
    <row r="6" spans="2:36" ht="16.5" customHeight="1">
      <c r="B6" s="141" t="s">
        <v>4</v>
      </c>
      <c r="C6" s="142"/>
      <c r="D6" s="142"/>
      <c r="E6" s="142"/>
      <c r="F6" s="142"/>
      <c r="G6" s="143"/>
      <c r="H6" s="148"/>
      <c r="I6" s="148"/>
      <c r="J6" s="148"/>
      <c r="K6" s="117"/>
      <c r="L6" s="117"/>
      <c r="M6" s="117"/>
      <c r="N6" s="137" t="s">
        <v>17</v>
      </c>
      <c r="O6" s="142"/>
      <c r="P6" s="142"/>
      <c r="Q6" s="142"/>
      <c r="R6" s="142"/>
      <c r="S6" s="143"/>
      <c r="T6" s="126">
        <f>T5*13.14%</f>
        <v>11522.366136000002</v>
      </c>
      <c r="U6" s="127"/>
      <c r="V6" s="127"/>
      <c r="W6" s="127"/>
      <c r="X6" s="127"/>
      <c r="Y6" s="144"/>
      <c r="AJ6" s="47"/>
    </row>
    <row r="7" spans="2:36" ht="16.5" customHeight="1">
      <c r="B7" s="141" t="s">
        <v>5</v>
      </c>
      <c r="C7" s="142"/>
      <c r="D7" s="142"/>
      <c r="E7" s="142"/>
      <c r="F7" s="142"/>
      <c r="G7" s="143"/>
      <c r="H7" s="148">
        <f>AI27</f>
        <v>16</v>
      </c>
      <c r="I7" s="148"/>
      <c r="J7" s="148"/>
      <c r="K7" s="117">
        <f>H7*10320*1.5</f>
        <v>247680</v>
      </c>
      <c r="L7" s="117"/>
      <c r="M7" s="117"/>
      <c r="N7" s="137" t="s">
        <v>31</v>
      </c>
      <c r="O7" s="142"/>
      <c r="P7" s="142"/>
      <c r="Q7" s="142"/>
      <c r="R7" s="142"/>
      <c r="S7" s="143"/>
      <c r="T7" s="126">
        <f>H17*0.9%</f>
        <v>21952.800000000003</v>
      </c>
      <c r="U7" s="127"/>
      <c r="V7" s="127"/>
      <c r="W7" s="127"/>
      <c r="X7" s="127"/>
      <c r="Y7" s="144"/>
      <c r="AJ7" s="47"/>
    </row>
    <row r="8" spans="2:36" ht="16.5" customHeight="1">
      <c r="B8" s="141" t="s">
        <v>6</v>
      </c>
      <c r="C8" s="142"/>
      <c r="D8" s="142"/>
      <c r="E8" s="142"/>
      <c r="F8" s="142"/>
      <c r="G8" s="143"/>
      <c r="H8" s="145">
        <f>AI28</f>
        <v>0</v>
      </c>
      <c r="I8" s="146"/>
      <c r="J8" s="147"/>
      <c r="K8" s="126">
        <f>H8*10320*0.5</f>
        <v>0</v>
      </c>
      <c r="L8" s="127"/>
      <c r="M8" s="128"/>
      <c r="N8" s="137" t="s">
        <v>32</v>
      </c>
      <c r="O8" s="142"/>
      <c r="P8" s="142"/>
      <c r="Q8" s="142"/>
      <c r="R8" s="142"/>
      <c r="S8" s="143"/>
      <c r="T8" s="126">
        <v>-51670</v>
      </c>
      <c r="U8" s="127"/>
      <c r="V8" s="127"/>
      <c r="W8" s="127"/>
      <c r="X8" s="127"/>
      <c r="Y8" s="144"/>
      <c r="AJ8" s="47"/>
    </row>
    <row r="9" spans="2:36" ht="16.5" customHeight="1">
      <c r="B9" s="141" t="s">
        <v>28</v>
      </c>
      <c r="C9" s="142"/>
      <c r="D9" s="142"/>
      <c r="E9" s="142"/>
      <c r="F9" s="142"/>
      <c r="G9" s="143"/>
      <c r="H9" s="145">
        <f>AI29</f>
        <v>0</v>
      </c>
      <c r="I9" s="146"/>
      <c r="J9" s="147"/>
      <c r="K9" s="117"/>
      <c r="L9" s="117"/>
      <c r="M9" s="117"/>
      <c r="N9" s="136" t="s">
        <v>33</v>
      </c>
      <c r="O9" s="136"/>
      <c r="P9" s="136"/>
      <c r="Q9" s="136"/>
      <c r="R9" s="136"/>
      <c r="S9" s="136"/>
      <c r="T9" s="126">
        <v>-5160</v>
      </c>
      <c r="U9" s="127"/>
      <c r="V9" s="127"/>
      <c r="W9" s="127"/>
      <c r="X9" s="127"/>
      <c r="Y9" s="144"/>
      <c r="AJ9" s="9"/>
    </row>
    <row r="10" spans="2:36" ht="16.5" customHeight="1">
      <c r="B10" s="141" t="s">
        <v>35</v>
      </c>
      <c r="C10" s="142"/>
      <c r="D10" s="142"/>
      <c r="E10" s="142"/>
      <c r="F10" s="142"/>
      <c r="G10" s="143"/>
      <c r="H10" s="126"/>
      <c r="I10" s="127"/>
      <c r="J10" s="127"/>
      <c r="K10" s="127"/>
      <c r="L10" s="127"/>
      <c r="M10" s="128"/>
      <c r="N10" s="136" t="s">
        <v>63</v>
      </c>
      <c r="O10" s="136"/>
      <c r="P10" s="136"/>
      <c r="Q10" s="136"/>
      <c r="R10" s="136"/>
      <c r="S10" s="136"/>
      <c r="T10" s="117"/>
      <c r="U10" s="117"/>
      <c r="V10" s="117"/>
      <c r="W10" s="117"/>
      <c r="X10" s="117"/>
      <c r="Y10" s="118"/>
      <c r="Z10" s="2"/>
      <c r="AA10" s="2"/>
    </row>
    <row r="11" spans="2:36" ht="16.5" customHeight="1">
      <c r="B11" s="141" t="s">
        <v>59</v>
      </c>
      <c r="C11" s="142"/>
      <c r="D11" s="142"/>
      <c r="E11" s="142"/>
      <c r="F11" s="142"/>
      <c r="G11" s="143"/>
      <c r="H11" s="126">
        <v>14000</v>
      </c>
      <c r="I11" s="127"/>
      <c r="J11" s="127"/>
      <c r="K11" s="127"/>
      <c r="L11" s="127"/>
      <c r="M11" s="128"/>
      <c r="N11" s="136" t="s">
        <v>77</v>
      </c>
      <c r="O11" s="136"/>
      <c r="P11" s="136"/>
      <c r="Q11" s="136"/>
      <c r="R11" s="136"/>
      <c r="S11" s="136"/>
      <c r="T11" s="126">
        <v>-71250</v>
      </c>
      <c r="U11" s="127"/>
      <c r="V11" s="127"/>
      <c r="W11" s="127"/>
      <c r="X11" s="127"/>
      <c r="Y11" s="144"/>
      <c r="Z11" s="2"/>
      <c r="AA11" s="2"/>
    </row>
    <row r="12" spans="2:36" ht="16.5">
      <c r="B12" s="135"/>
      <c r="C12" s="136"/>
      <c r="D12" s="136"/>
      <c r="E12" s="136"/>
      <c r="F12" s="136"/>
      <c r="G12" s="137"/>
      <c r="H12" s="117"/>
      <c r="I12" s="117"/>
      <c r="J12" s="117"/>
      <c r="K12" s="117"/>
      <c r="L12" s="117"/>
      <c r="M12" s="117"/>
      <c r="N12" s="138"/>
      <c r="O12" s="138"/>
      <c r="P12" s="138"/>
      <c r="Q12" s="138"/>
      <c r="R12" s="138"/>
      <c r="S12" s="138"/>
      <c r="T12" s="139"/>
      <c r="U12" s="139"/>
      <c r="V12" s="139"/>
      <c r="W12" s="139"/>
      <c r="X12" s="139"/>
      <c r="Y12" s="140"/>
      <c r="Z12" s="2"/>
      <c r="AA12" s="2"/>
    </row>
    <row r="13" spans="2:36" ht="16.5" customHeight="1">
      <c r="B13" s="114"/>
      <c r="C13" s="115"/>
      <c r="D13" s="115"/>
      <c r="E13" s="115"/>
      <c r="F13" s="115"/>
      <c r="G13" s="116"/>
      <c r="H13" s="126"/>
      <c r="I13" s="127"/>
      <c r="J13" s="127"/>
      <c r="K13" s="127"/>
      <c r="L13" s="127"/>
      <c r="M13" s="127"/>
      <c r="N13" s="115"/>
      <c r="O13" s="115"/>
      <c r="P13" s="115"/>
      <c r="Q13" s="115"/>
      <c r="R13" s="115"/>
      <c r="S13" s="115"/>
      <c r="T13" s="117"/>
      <c r="U13" s="117"/>
      <c r="V13" s="117"/>
      <c r="W13" s="117"/>
      <c r="X13" s="117"/>
      <c r="Y13" s="118"/>
      <c r="Z13" s="2"/>
      <c r="AA13" s="2"/>
    </row>
    <row r="14" spans="2:36" ht="16.5">
      <c r="B14" s="124"/>
      <c r="C14" s="125"/>
      <c r="D14" s="125"/>
      <c r="E14" s="125"/>
      <c r="F14" s="125"/>
      <c r="G14" s="125"/>
      <c r="H14" s="126"/>
      <c r="I14" s="127"/>
      <c r="J14" s="127"/>
      <c r="K14" s="127"/>
      <c r="L14" s="127"/>
      <c r="M14" s="128"/>
      <c r="N14" s="129"/>
      <c r="O14" s="130"/>
      <c r="P14" s="130"/>
      <c r="Q14" s="130"/>
      <c r="R14" s="130"/>
      <c r="S14" s="131"/>
      <c r="T14" s="132"/>
      <c r="U14" s="133"/>
      <c r="V14" s="133"/>
      <c r="W14" s="133"/>
      <c r="X14" s="133"/>
      <c r="Y14" s="134"/>
      <c r="Z14" s="2"/>
      <c r="AA14" s="2"/>
    </row>
    <row r="15" spans="2:36" ht="16.5">
      <c r="B15" s="114"/>
      <c r="C15" s="115"/>
      <c r="D15" s="115"/>
      <c r="E15" s="115"/>
      <c r="F15" s="115"/>
      <c r="G15" s="116"/>
      <c r="H15" s="117"/>
      <c r="I15" s="117"/>
      <c r="J15" s="117"/>
      <c r="K15" s="117"/>
      <c r="L15" s="117"/>
      <c r="M15" s="117"/>
      <c r="N15" s="115"/>
      <c r="O15" s="115"/>
      <c r="P15" s="115"/>
      <c r="Q15" s="115"/>
      <c r="R15" s="115"/>
      <c r="S15" s="115"/>
      <c r="T15" s="117"/>
      <c r="U15" s="117"/>
      <c r="V15" s="117"/>
      <c r="W15" s="117"/>
      <c r="X15" s="117"/>
      <c r="Y15" s="118"/>
      <c r="Z15" s="2"/>
      <c r="AA15" s="2"/>
    </row>
    <row r="16" spans="2:36" ht="16.5">
      <c r="B16" s="114"/>
      <c r="C16" s="115"/>
      <c r="D16" s="115"/>
      <c r="E16" s="115"/>
      <c r="F16" s="115"/>
      <c r="G16" s="116"/>
      <c r="H16" s="117"/>
      <c r="I16" s="117"/>
      <c r="J16" s="117"/>
      <c r="K16" s="117"/>
      <c r="L16" s="117"/>
      <c r="M16" s="117"/>
      <c r="N16" s="115" t="s">
        <v>7</v>
      </c>
      <c r="O16" s="115"/>
      <c r="P16" s="115"/>
      <c r="Q16" s="115"/>
      <c r="R16" s="115"/>
      <c r="S16" s="115"/>
      <c r="T16" s="117">
        <f>SUM(T4:Y12)</f>
        <v>92834.406136000005</v>
      </c>
      <c r="U16" s="117"/>
      <c r="V16" s="117"/>
      <c r="W16" s="117"/>
      <c r="X16" s="117"/>
      <c r="Y16" s="118"/>
      <c r="Z16" s="9"/>
      <c r="AA16" s="9"/>
    </row>
    <row r="17" spans="1:35" ht="17.25" thickBot="1">
      <c r="B17" s="119" t="s">
        <v>8</v>
      </c>
      <c r="C17" s="120"/>
      <c r="D17" s="120"/>
      <c r="E17" s="120"/>
      <c r="F17" s="120"/>
      <c r="G17" s="121"/>
      <c r="H17" s="122">
        <f>SUM(K4,K5,K6,K7,K8,K9,H10,H11,H12,H13,H14,H15,H16)</f>
        <v>2439200</v>
      </c>
      <c r="I17" s="122"/>
      <c r="J17" s="122"/>
      <c r="K17" s="122"/>
      <c r="L17" s="122"/>
      <c r="M17" s="122"/>
      <c r="N17" s="120" t="s">
        <v>9</v>
      </c>
      <c r="O17" s="120"/>
      <c r="P17" s="120"/>
      <c r="Q17" s="120"/>
      <c r="R17" s="120"/>
      <c r="S17" s="120"/>
      <c r="T17" s="122">
        <f>H17-T16</f>
        <v>2346365.5938639999</v>
      </c>
      <c r="U17" s="122"/>
      <c r="V17" s="122"/>
      <c r="W17" s="122"/>
      <c r="X17" s="122"/>
      <c r="Y17" s="123"/>
      <c r="Z17" s="9"/>
      <c r="AA17" s="9"/>
      <c r="AD17" s="104"/>
      <c r="AE17" s="104"/>
    </row>
    <row r="18" spans="1:35" ht="21.75" customHeight="1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9"/>
      <c r="AA18" s="9"/>
    </row>
    <row r="19" spans="1:35" ht="16.5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O19" s="3"/>
      <c r="P19" s="106" t="s">
        <v>10</v>
      </c>
      <c r="Q19" s="104"/>
      <c r="R19" s="104"/>
      <c r="S19" s="104"/>
      <c r="T19" s="107" t="s">
        <v>57</v>
      </c>
      <c r="U19" s="107"/>
      <c r="V19" s="107"/>
      <c r="W19" s="107"/>
      <c r="Z19" s="9"/>
      <c r="AA19" s="4"/>
    </row>
    <row r="20" spans="1:35" ht="16.5"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P20" s="104"/>
      <c r="Q20" s="104"/>
      <c r="R20" s="104"/>
      <c r="S20" s="104"/>
      <c r="T20" s="107"/>
      <c r="U20" s="107"/>
      <c r="V20" s="107"/>
      <c r="W20" s="107"/>
      <c r="Z20" s="9"/>
      <c r="AA20" s="4"/>
    </row>
    <row r="21" spans="1:35" ht="17.25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108" t="s">
        <v>26</v>
      </c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9"/>
      <c r="AA21" s="9"/>
    </row>
    <row r="22" spans="1:35" s="12" customFormat="1" ht="17.25" thickBot="1">
      <c r="X22" s="13"/>
      <c r="AD22" s="109"/>
      <c r="AE22" s="109"/>
      <c r="AF22" s="109"/>
      <c r="AG22" s="109"/>
      <c r="AH22" s="14"/>
    </row>
    <row r="23" spans="1:35" ht="16.5" customHeight="1">
      <c r="A23" s="110"/>
      <c r="B23" s="111" t="s">
        <v>11</v>
      </c>
      <c r="C23" s="112" t="s">
        <v>12</v>
      </c>
      <c r="D23" s="64">
        <v>1</v>
      </c>
      <c r="E23" s="57">
        <v>2</v>
      </c>
      <c r="F23" s="57">
        <v>3</v>
      </c>
      <c r="G23" s="57">
        <v>4</v>
      </c>
      <c r="H23" s="57">
        <v>5</v>
      </c>
      <c r="I23" s="57">
        <v>6</v>
      </c>
      <c r="J23" s="74">
        <v>7</v>
      </c>
      <c r="K23" s="69">
        <v>8</v>
      </c>
      <c r="L23" s="57">
        <v>9</v>
      </c>
      <c r="M23" s="57">
        <v>10</v>
      </c>
      <c r="N23" s="57">
        <v>11</v>
      </c>
      <c r="O23" s="57">
        <v>12</v>
      </c>
      <c r="P23" s="57">
        <v>13</v>
      </c>
      <c r="Q23" s="74">
        <v>14</v>
      </c>
      <c r="R23" s="69">
        <v>15</v>
      </c>
      <c r="S23" s="69">
        <v>16</v>
      </c>
      <c r="T23" s="69">
        <v>17</v>
      </c>
      <c r="U23" s="69">
        <v>18</v>
      </c>
      <c r="V23" s="57">
        <v>19</v>
      </c>
      <c r="W23" s="57">
        <v>20</v>
      </c>
      <c r="X23" s="74">
        <v>21</v>
      </c>
      <c r="Y23" s="69">
        <v>22</v>
      </c>
      <c r="Z23" s="57">
        <v>23</v>
      </c>
      <c r="AA23" s="57">
        <v>24</v>
      </c>
      <c r="AB23" s="85">
        <v>25</v>
      </c>
      <c r="AC23" s="57">
        <v>26</v>
      </c>
      <c r="AD23" s="57">
        <v>27</v>
      </c>
      <c r="AE23" s="74">
        <v>28</v>
      </c>
      <c r="AF23" s="57">
        <v>29</v>
      </c>
      <c r="AG23" s="57">
        <v>30</v>
      </c>
      <c r="AH23" s="79">
        <v>31</v>
      </c>
      <c r="AI23" s="97" t="s">
        <v>18</v>
      </c>
    </row>
    <row r="24" spans="1:35" ht="16.5" customHeight="1" thickBot="1">
      <c r="A24" s="110"/>
      <c r="B24" s="103"/>
      <c r="C24" s="113"/>
      <c r="D24" s="65" t="s">
        <v>72</v>
      </c>
      <c r="E24" s="58" t="s">
        <v>73</v>
      </c>
      <c r="F24" s="58" t="s">
        <v>19</v>
      </c>
      <c r="G24" s="58" t="s">
        <v>20</v>
      </c>
      <c r="H24" s="58" t="s">
        <v>21</v>
      </c>
      <c r="I24" s="58" t="s">
        <v>22</v>
      </c>
      <c r="J24" s="75" t="s">
        <v>23</v>
      </c>
      <c r="K24" s="70" t="s">
        <v>24</v>
      </c>
      <c r="L24" s="58" t="s">
        <v>25</v>
      </c>
      <c r="M24" s="58" t="s">
        <v>19</v>
      </c>
      <c r="N24" s="58" t="s">
        <v>20</v>
      </c>
      <c r="O24" s="58" t="s">
        <v>21</v>
      </c>
      <c r="P24" s="58" t="s">
        <v>22</v>
      </c>
      <c r="Q24" s="75" t="s">
        <v>23</v>
      </c>
      <c r="R24" s="70" t="s">
        <v>24</v>
      </c>
      <c r="S24" s="70" t="s">
        <v>25</v>
      </c>
      <c r="T24" s="70" t="s">
        <v>19</v>
      </c>
      <c r="U24" s="70" t="s">
        <v>20</v>
      </c>
      <c r="V24" s="58" t="s">
        <v>21</v>
      </c>
      <c r="W24" s="58" t="s">
        <v>22</v>
      </c>
      <c r="X24" s="75" t="s">
        <v>23</v>
      </c>
      <c r="Y24" s="70" t="s">
        <v>24</v>
      </c>
      <c r="Z24" s="58" t="s">
        <v>25</v>
      </c>
      <c r="AA24" s="58" t="s">
        <v>19</v>
      </c>
      <c r="AB24" s="58" t="s">
        <v>20</v>
      </c>
      <c r="AC24" s="58" t="s">
        <v>21</v>
      </c>
      <c r="AD24" s="58" t="s">
        <v>22</v>
      </c>
      <c r="AE24" s="75" t="s">
        <v>23</v>
      </c>
      <c r="AF24" s="58" t="s">
        <v>21</v>
      </c>
      <c r="AG24" s="58" t="s">
        <v>22</v>
      </c>
      <c r="AH24" s="80" t="s">
        <v>47</v>
      </c>
      <c r="AI24" s="98"/>
    </row>
    <row r="25" spans="1:35" ht="16.5">
      <c r="A25" s="99"/>
      <c r="B25" s="100" t="str">
        <f>T19</f>
        <v>김성경</v>
      </c>
      <c r="C25" s="34" t="s">
        <v>13</v>
      </c>
      <c r="D25" s="66">
        <v>8</v>
      </c>
      <c r="E25" s="59">
        <v>6</v>
      </c>
      <c r="F25" s="59">
        <v>8</v>
      </c>
      <c r="G25" s="59">
        <v>8</v>
      </c>
      <c r="H25" s="59">
        <v>8</v>
      </c>
      <c r="I25" s="59">
        <v>8</v>
      </c>
      <c r="J25" s="76"/>
      <c r="K25" s="71">
        <v>8</v>
      </c>
      <c r="L25" s="59">
        <v>8</v>
      </c>
      <c r="M25" s="59">
        <v>8</v>
      </c>
      <c r="N25" s="59">
        <v>8</v>
      </c>
      <c r="O25" s="59">
        <v>8</v>
      </c>
      <c r="P25" s="59">
        <v>8</v>
      </c>
      <c r="Q25" s="76"/>
      <c r="R25" s="71">
        <v>8</v>
      </c>
      <c r="S25" s="71">
        <v>8</v>
      </c>
      <c r="T25" s="71">
        <v>8</v>
      </c>
      <c r="U25" s="71">
        <v>8</v>
      </c>
      <c r="V25" s="59">
        <v>8</v>
      </c>
      <c r="W25" s="59">
        <v>8</v>
      </c>
      <c r="X25" s="76"/>
      <c r="Y25" s="71">
        <v>8</v>
      </c>
      <c r="Z25" s="59">
        <v>8</v>
      </c>
      <c r="AA25" s="59">
        <v>8</v>
      </c>
      <c r="AB25" s="59">
        <v>8</v>
      </c>
      <c r="AC25" s="59">
        <v>8</v>
      </c>
      <c r="AD25" s="59">
        <v>8</v>
      </c>
      <c r="AE25" s="90"/>
      <c r="AF25" s="88"/>
      <c r="AG25" s="59"/>
      <c r="AH25" s="81"/>
      <c r="AI25" s="49">
        <f>SUM(D25:AH25)</f>
        <v>190</v>
      </c>
    </row>
    <row r="26" spans="1:35" ht="16.5">
      <c r="A26" s="99"/>
      <c r="B26" s="101"/>
      <c r="C26" s="35" t="s">
        <v>14</v>
      </c>
      <c r="D26" s="67"/>
      <c r="E26" s="60"/>
      <c r="F26" s="60">
        <v>2</v>
      </c>
      <c r="G26" s="60">
        <v>2</v>
      </c>
      <c r="H26" s="60">
        <v>2</v>
      </c>
      <c r="I26" s="60"/>
      <c r="J26" s="77"/>
      <c r="K26" s="72"/>
      <c r="L26" s="60">
        <v>2</v>
      </c>
      <c r="M26" s="60">
        <v>2</v>
      </c>
      <c r="N26" s="60"/>
      <c r="O26" s="60">
        <v>2</v>
      </c>
      <c r="P26" s="60"/>
      <c r="Q26" s="77"/>
      <c r="R26" s="72"/>
      <c r="S26" s="72"/>
      <c r="T26" s="72"/>
      <c r="U26" s="72"/>
      <c r="V26" s="60"/>
      <c r="W26" s="60"/>
      <c r="X26" s="77"/>
      <c r="Y26" s="72"/>
      <c r="Z26" s="60"/>
      <c r="AA26" s="60"/>
      <c r="AB26" s="60"/>
      <c r="AC26" s="60"/>
      <c r="AD26" s="60">
        <v>2</v>
      </c>
      <c r="AE26" s="91"/>
      <c r="AF26" s="89"/>
      <c r="AG26" s="60"/>
      <c r="AH26" s="82"/>
      <c r="AI26" s="50">
        <f>SUM(D26:AH26)</f>
        <v>14</v>
      </c>
    </row>
    <row r="27" spans="1:35" ht="16.5">
      <c r="A27" s="99"/>
      <c r="B27" s="101"/>
      <c r="C27" s="35" t="s">
        <v>15</v>
      </c>
      <c r="D27" s="67"/>
      <c r="E27" s="60"/>
      <c r="F27" s="60"/>
      <c r="G27" s="60"/>
      <c r="H27" s="60"/>
      <c r="I27" s="60"/>
      <c r="J27" s="77">
        <v>8</v>
      </c>
      <c r="K27" s="72"/>
      <c r="L27" s="60"/>
      <c r="M27" s="60"/>
      <c r="N27" s="60"/>
      <c r="O27" s="60"/>
      <c r="P27" s="60"/>
      <c r="Q27" s="77">
        <v>8</v>
      </c>
      <c r="R27" s="72"/>
      <c r="S27" s="72"/>
      <c r="T27" s="72"/>
      <c r="U27" s="72"/>
      <c r="V27" s="60"/>
      <c r="W27" s="60"/>
      <c r="X27" s="77"/>
      <c r="Y27" s="72"/>
      <c r="Z27" s="60"/>
      <c r="AA27" s="60"/>
      <c r="AB27" s="60"/>
      <c r="AC27" s="60"/>
      <c r="AD27" s="60"/>
      <c r="AE27" s="91"/>
      <c r="AF27" s="89"/>
      <c r="AG27" s="60"/>
      <c r="AH27" s="82"/>
      <c r="AI27" s="50">
        <f>SUM(D27:AH27)</f>
        <v>16</v>
      </c>
    </row>
    <row r="28" spans="1:35" ht="16.5">
      <c r="A28" s="99"/>
      <c r="B28" s="102"/>
      <c r="C28" s="15" t="s">
        <v>27</v>
      </c>
      <c r="D28" s="67"/>
      <c r="E28" s="60"/>
      <c r="F28" s="60"/>
      <c r="G28" s="60"/>
      <c r="H28" s="60"/>
      <c r="I28" s="60"/>
      <c r="J28" s="77"/>
      <c r="K28" s="72"/>
      <c r="L28" s="60"/>
      <c r="M28" s="60"/>
      <c r="N28" s="60"/>
      <c r="O28" s="60"/>
      <c r="P28" s="60"/>
      <c r="Q28" s="77"/>
      <c r="R28" s="72"/>
      <c r="S28" s="72"/>
      <c r="T28" s="72"/>
      <c r="U28" s="72"/>
      <c r="V28" s="60"/>
      <c r="W28" s="60"/>
      <c r="X28" s="77"/>
      <c r="Y28" s="72"/>
      <c r="Z28" s="60"/>
      <c r="AA28" s="60"/>
      <c r="AB28" s="60"/>
      <c r="AC28" s="60"/>
      <c r="AD28" s="60"/>
      <c r="AE28" s="91"/>
      <c r="AF28" s="89"/>
      <c r="AG28" s="60"/>
      <c r="AH28" s="82"/>
      <c r="AI28" s="50">
        <f>SUM(D28:AH28)</f>
        <v>0</v>
      </c>
    </row>
    <row r="29" spans="1:35" ht="17.25" thickBot="1">
      <c r="A29" s="99"/>
      <c r="B29" s="103"/>
      <c r="C29" s="46" t="s">
        <v>34</v>
      </c>
      <c r="D29" s="68"/>
      <c r="E29" s="61"/>
      <c r="F29" s="61"/>
      <c r="G29" s="61"/>
      <c r="H29" s="61"/>
      <c r="I29" s="61"/>
      <c r="J29" s="78"/>
      <c r="K29" s="73"/>
      <c r="L29" s="61"/>
      <c r="M29" s="61"/>
      <c r="N29" s="61"/>
      <c r="O29" s="61"/>
      <c r="P29" s="61"/>
      <c r="Q29" s="78"/>
      <c r="R29" s="73"/>
      <c r="S29" s="73"/>
      <c r="T29" s="73"/>
      <c r="U29" s="73"/>
      <c r="V29" s="61" t="s">
        <v>74</v>
      </c>
      <c r="W29" s="61" t="s">
        <v>74</v>
      </c>
      <c r="X29" s="78"/>
      <c r="Y29" s="73"/>
      <c r="Z29" s="61"/>
      <c r="AA29" s="61"/>
      <c r="AB29" s="86"/>
      <c r="AC29" s="61"/>
      <c r="AD29" s="61"/>
      <c r="AE29" s="93"/>
      <c r="AF29" s="63"/>
      <c r="AG29" s="61"/>
      <c r="AH29" s="83"/>
      <c r="AI29" s="48">
        <f>SUM(D29:AH29)</f>
        <v>0</v>
      </c>
    </row>
    <row r="30" spans="1:35" ht="18" customHeight="1"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8"/>
      <c r="AE30" s="18"/>
      <c r="AF30" s="18"/>
      <c r="AG30" s="18"/>
      <c r="AH30" s="18"/>
      <c r="AI30" s="17"/>
    </row>
  </sheetData>
  <mergeCells count="77">
    <mergeCell ref="B1:G2"/>
    <mergeCell ref="B3:M3"/>
    <mergeCell ref="N3:Y3"/>
    <mergeCell ref="B4:G4"/>
    <mergeCell ref="H4:J4"/>
    <mergeCell ref="K4:M4"/>
    <mergeCell ref="N4:S4"/>
    <mergeCell ref="T4:Y4"/>
    <mergeCell ref="B6:G6"/>
    <mergeCell ref="H6:J6"/>
    <mergeCell ref="K6:M6"/>
    <mergeCell ref="N6:S6"/>
    <mergeCell ref="T6:Y6"/>
    <mergeCell ref="B5:G5"/>
    <mergeCell ref="H5:J5"/>
    <mergeCell ref="K5:M5"/>
    <mergeCell ref="N5:S5"/>
    <mergeCell ref="T5:Y5"/>
    <mergeCell ref="B7:G7"/>
    <mergeCell ref="H7:J7"/>
    <mergeCell ref="K7:M7"/>
    <mergeCell ref="N7:S7"/>
    <mergeCell ref="T7:Y7"/>
    <mergeCell ref="B8:G8"/>
    <mergeCell ref="H8:J8"/>
    <mergeCell ref="K8:M8"/>
    <mergeCell ref="N8:S8"/>
    <mergeCell ref="T8:Y8"/>
    <mergeCell ref="B9:G9"/>
    <mergeCell ref="H9:J9"/>
    <mergeCell ref="K9:M9"/>
    <mergeCell ref="N9:S9"/>
    <mergeCell ref="T9:Y9"/>
    <mergeCell ref="B10:G10"/>
    <mergeCell ref="H10:M10"/>
    <mergeCell ref="N10:S10"/>
    <mergeCell ref="T10:Y10"/>
    <mergeCell ref="B11:G11"/>
    <mergeCell ref="H11:M11"/>
    <mergeCell ref="N11:S11"/>
    <mergeCell ref="T11:Y11"/>
    <mergeCell ref="B12:G12"/>
    <mergeCell ref="H12:M12"/>
    <mergeCell ref="N12:S12"/>
    <mergeCell ref="T12:Y12"/>
    <mergeCell ref="B13:G13"/>
    <mergeCell ref="H13:M13"/>
    <mergeCell ref="N13:S13"/>
    <mergeCell ref="T13:Y13"/>
    <mergeCell ref="B14:G14"/>
    <mergeCell ref="H14:M14"/>
    <mergeCell ref="N14:S14"/>
    <mergeCell ref="T14:Y14"/>
    <mergeCell ref="B15:G15"/>
    <mergeCell ref="H15:M15"/>
    <mergeCell ref="N15:S15"/>
    <mergeCell ref="T15:Y15"/>
    <mergeCell ref="AD22:AG22"/>
    <mergeCell ref="B16:G16"/>
    <mergeCell ref="H16:M16"/>
    <mergeCell ref="N16:S16"/>
    <mergeCell ref="T16:Y16"/>
    <mergeCell ref="B17:G17"/>
    <mergeCell ref="H17:M17"/>
    <mergeCell ref="N17:S17"/>
    <mergeCell ref="T17:Y17"/>
    <mergeCell ref="AD17:AE17"/>
    <mergeCell ref="N18:Y18"/>
    <mergeCell ref="P19:S20"/>
    <mergeCell ref="T19:W20"/>
    <mergeCell ref="N21:Y21"/>
    <mergeCell ref="A23:A24"/>
    <mergeCell ref="B23:B24"/>
    <mergeCell ref="C23:C24"/>
    <mergeCell ref="AI23:AI24"/>
    <mergeCell ref="A25:A29"/>
    <mergeCell ref="B25:B29"/>
  </mergeCells>
  <phoneticPr fontId="2" type="noConversion"/>
  <pageMargins left="0.7" right="0.7" top="0.75" bottom="0.75" header="0.3" footer="0.3"/>
  <pageSetup paperSize="9" scale="73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겉지</vt:lpstr>
      <vt:lpstr>이영숙</vt:lpstr>
      <vt:lpstr>신향화</vt:lpstr>
      <vt:lpstr>강정희</vt:lpstr>
      <vt:lpstr>박미순</vt:lpstr>
      <vt:lpstr>이진희</vt:lpstr>
      <vt:lpstr>류경화</vt:lpstr>
      <vt:lpstr>임연숙</vt:lpstr>
      <vt:lpstr>선두녀</vt:lpstr>
      <vt:lpstr>김연아</vt:lpstr>
      <vt:lpstr>조행연</vt:lpstr>
      <vt:lpstr>김성경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unitec</dc:creator>
  <cp:lastModifiedBy>user</cp:lastModifiedBy>
  <cp:lastPrinted>2015-12-03T07:44:50Z</cp:lastPrinted>
  <dcterms:created xsi:type="dcterms:W3CDTF">2015-05-06T06:37:56Z</dcterms:created>
  <dcterms:modified xsi:type="dcterms:W3CDTF">2026-03-16T07:43:06Z</dcterms:modified>
</cp:coreProperties>
</file>