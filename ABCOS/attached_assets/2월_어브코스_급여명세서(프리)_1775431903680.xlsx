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년도\2월\30일\급여명세서\"/>
    </mc:Choice>
  </mc:AlternateContent>
  <xr:revisionPtr revIDLastSave="0" documentId="13_ncr:1_{91580D3A-522E-49B2-B7D2-BD9406B17B27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겉지" sheetId="1" r:id="rId1"/>
    <sheet name="김향숙" sheetId="185" r:id="rId2"/>
    <sheet name="이영수" sheetId="151" r:id="rId3"/>
    <sheet name="이미영A" sheetId="186" r:id="rId4"/>
    <sheet name="윤선희" sheetId="154" r:id="rId5"/>
    <sheet name="또아" sheetId="173" r:id="rId6"/>
    <sheet name="김봉화" sheetId="204" r:id="rId7"/>
    <sheet name="이윤진" sheetId="161" r:id="rId8"/>
    <sheet name="이윤영" sheetId="174" r:id="rId9"/>
    <sheet name="김성실" sheetId="155" r:id="rId10"/>
    <sheet name="박승미" sheetId="170" r:id="rId11"/>
    <sheet name="김수희" sheetId="187" r:id="rId12"/>
    <sheet name="설홍매" sheetId="162" r:id="rId13"/>
    <sheet name="김구연" sheetId="158" r:id="rId14"/>
    <sheet name="김현순" sheetId="178" r:id="rId15"/>
    <sheet name="장희숙" sheetId="179" r:id="rId16"/>
    <sheet name="김수정B" sheetId="181" r:id="rId17"/>
    <sheet name="박서원B" sheetId="189" r:id="rId18"/>
    <sheet name="최삼순" sheetId="184" r:id="rId19"/>
    <sheet name="프라타레네린" sheetId="191" r:id="rId20"/>
    <sheet name="육은심" sheetId="192" r:id="rId21"/>
    <sheet name="김수현" sheetId="193" r:id="rId22"/>
    <sheet name="한계숙" sheetId="253" r:id="rId23"/>
    <sheet name="풍춘향" sheetId="202" r:id="rId24"/>
    <sheet name="유지원" sheetId="213" r:id="rId25"/>
    <sheet name="김연순" sheetId="209" r:id="rId26"/>
    <sheet name="지미경" sheetId="208" r:id="rId27"/>
    <sheet name="트란티남" sheetId="210" r:id="rId28"/>
    <sheet name="박혜선" sheetId="263" r:id="rId29"/>
    <sheet name="이수진" sheetId="262" r:id="rId30"/>
    <sheet name="강명옥" sheetId="261" r:id="rId31"/>
    <sheet name="최춘자" sheetId="260" r:id="rId32"/>
    <sheet name="레티탐" sheetId="259" r:id="rId33"/>
    <sheet name="노미순" sheetId="258" r:id="rId34"/>
    <sheet name="한서현" sheetId="257" r:id="rId35"/>
    <sheet name="응웬티회" sheetId="256" r:id="rId36"/>
    <sheet name="정오례" sheetId="206" r:id="rId37"/>
    <sheet name="문영" sheetId="221" r:id="rId38"/>
    <sheet name="박정희" sheetId="175" r:id="rId39"/>
    <sheet name="임정숙" sheetId="194" r:id="rId40"/>
    <sheet name="한부덕" sheetId="196" r:id="rId41"/>
    <sheet name="후인민뉴" sheetId="195" r:id="rId42"/>
    <sheet name="송순옥" sheetId="197" r:id="rId43"/>
    <sheet name="응우옌티휴옌짱" sheetId="198" r:id="rId44"/>
    <sheet name="김보아" sheetId="199" r:id="rId45"/>
    <sheet name="포브스레이멘" sheetId="200" r:id="rId46"/>
    <sheet name="율리야" sheetId="201" r:id="rId47"/>
    <sheet name="김미선" sheetId="203" r:id="rId48"/>
    <sheet name="진수연" sheetId="205" r:id="rId49"/>
    <sheet name="이방미" sheetId="214" r:id="rId50"/>
    <sheet name="이혜영" sheetId="222" r:id="rId51"/>
    <sheet name="김선미D" sheetId="235" r:id="rId52"/>
    <sheet name="오수빈" sheetId="236" r:id="rId53"/>
    <sheet name="위파위" sheetId="237" r:id="rId54"/>
    <sheet name="서미란" sheetId="238" r:id="rId55"/>
    <sheet name="박소연B" sheetId="239" r:id="rId56"/>
    <sheet name="이학래" sheetId="240" r:id="rId57"/>
    <sheet name="마리나" sheetId="241" r:id="rId58"/>
    <sheet name="김명희B" sheetId="242" r:id="rId59"/>
    <sheet name="이현정C" sheetId="243" r:id="rId60"/>
    <sheet name="이효진" sheetId="244" r:id="rId61"/>
    <sheet name="문지현" sheetId="246" r:id="rId62"/>
    <sheet name="문지수" sheetId="245" r:id="rId63"/>
    <sheet name="원차연" sheetId="247" r:id="rId64"/>
    <sheet name="리티민홍" sheetId="249" r:id="rId65"/>
    <sheet name="이주성" sheetId="250" r:id="rId66"/>
    <sheet name="최보경" sheetId="251" r:id="rId67"/>
    <sheet name="김유진E" sheetId="252" r:id="rId68"/>
    <sheet name="이정화" sheetId="254" r:id="rId69"/>
    <sheet name="최금화" sheetId="255" r:id="rId7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D72" i="1"/>
  <c r="T4" i="243"/>
  <c r="T5" i="243" s="1"/>
  <c r="T4" i="242"/>
  <c r="T5" i="242" s="1"/>
  <c r="T5" i="240"/>
  <c r="T4" i="240"/>
  <c r="T5" i="214"/>
  <c r="T4" i="214"/>
  <c r="T5" i="203"/>
  <c r="T4" i="203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50" i="1"/>
  <c r="E52" i="1"/>
  <c r="E53" i="1"/>
  <c r="E54" i="1"/>
  <c r="E55" i="1"/>
  <c r="E56" i="1"/>
  <c r="E57" i="1"/>
  <c r="E59" i="1"/>
  <c r="E62" i="1"/>
  <c r="E63" i="1"/>
  <c r="E64" i="1"/>
  <c r="E65" i="1"/>
  <c r="E66" i="1"/>
  <c r="E67" i="1"/>
  <c r="E68" i="1"/>
  <c r="E69" i="1"/>
  <c r="E70" i="1"/>
  <c r="E71" i="1"/>
  <c r="E16" i="1"/>
  <c r="T17" i="158"/>
  <c r="T17" i="162"/>
  <c r="T17" i="187"/>
  <c r="T17" i="205"/>
  <c r="T17" i="201"/>
  <c r="T17" i="200"/>
  <c r="T17" i="199"/>
  <c r="T17" i="198"/>
  <c r="T17" i="195"/>
  <c r="T16" i="187"/>
  <c r="T9" i="241"/>
  <c r="K8" i="263"/>
  <c r="T9" i="243"/>
  <c r="T5" i="222"/>
  <c r="T9" i="214"/>
  <c r="T5" i="200"/>
  <c r="T5" i="199"/>
  <c r="T5" i="195"/>
  <c r="T5" i="196"/>
  <c r="T5" i="194"/>
  <c r="T5" i="221"/>
  <c r="K8" i="259"/>
  <c r="K8" i="262"/>
  <c r="K8" i="260"/>
  <c r="K8" i="187"/>
  <c r="H17" i="187" s="1"/>
  <c r="K8" i="158"/>
  <c r="T5" i="173"/>
  <c r="T16" i="173" s="1"/>
  <c r="T4" i="173"/>
  <c r="T9" i="173"/>
  <c r="B13" i="1" l="1"/>
  <c r="B12" i="1"/>
  <c r="B7" i="1"/>
  <c r="B6" i="1"/>
  <c r="B71" i="1" l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AJ30" i="263"/>
  <c r="AJ29" i="263"/>
  <c r="H8" i="263" s="1"/>
  <c r="AJ28" i="263"/>
  <c r="H7" i="263" s="1"/>
  <c r="K7" i="263" s="1"/>
  <c r="AJ27" i="263"/>
  <c r="H5" i="263" s="1"/>
  <c r="K5" i="263" s="1"/>
  <c r="H17" i="263" s="1"/>
  <c r="AJ26" i="263"/>
  <c r="B26" i="263"/>
  <c r="K6" i="263"/>
  <c r="K4" i="263"/>
  <c r="H4" i="263"/>
  <c r="AJ30" i="262"/>
  <c r="AJ29" i="262"/>
  <c r="AJ28" i="262"/>
  <c r="H7" i="262" s="1"/>
  <c r="K7" i="262" s="1"/>
  <c r="AJ27" i="262"/>
  <c r="H5" i="262" s="1"/>
  <c r="K5" i="262" s="1"/>
  <c r="AJ26" i="262"/>
  <c r="B26" i="262"/>
  <c r="H8" i="262"/>
  <c r="K6" i="262"/>
  <c r="H4" i="262"/>
  <c r="K4" i="262" s="1"/>
  <c r="AJ30" i="261"/>
  <c r="AJ29" i="261"/>
  <c r="H8" i="261" s="1"/>
  <c r="K8" i="261" s="1"/>
  <c r="AJ28" i="261"/>
  <c r="H7" i="261" s="1"/>
  <c r="K7" i="261" s="1"/>
  <c r="AJ27" i="261"/>
  <c r="H5" i="261" s="1"/>
  <c r="K5" i="261" s="1"/>
  <c r="AJ26" i="261"/>
  <c r="B26" i="261"/>
  <c r="K6" i="261"/>
  <c r="H4" i="261"/>
  <c r="K4" i="261" s="1"/>
  <c r="AJ30" i="260"/>
  <c r="AJ29" i="260"/>
  <c r="H8" i="260" s="1"/>
  <c r="AJ28" i="260"/>
  <c r="H7" i="260" s="1"/>
  <c r="K7" i="260" s="1"/>
  <c r="AJ27" i="260"/>
  <c r="H5" i="260" s="1"/>
  <c r="K5" i="260" s="1"/>
  <c r="AJ26" i="260"/>
  <c r="B26" i="260"/>
  <c r="K6" i="260"/>
  <c r="H4" i="260"/>
  <c r="K4" i="260" s="1"/>
  <c r="AJ30" i="259"/>
  <c r="AJ29" i="259"/>
  <c r="H8" i="259" s="1"/>
  <c r="AJ28" i="259"/>
  <c r="AJ27" i="259"/>
  <c r="H5" i="259" s="1"/>
  <c r="K5" i="259" s="1"/>
  <c r="AJ26" i="259"/>
  <c r="B26" i="259"/>
  <c r="H7" i="259"/>
  <c r="K7" i="259" s="1"/>
  <c r="K6" i="259"/>
  <c r="H4" i="259"/>
  <c r="K4" i="259" s="1"/>
  <c r="H17" i="259" s="1"/>
  <c r="AJ30" i="258"/>
  <c r="AJ29" i="258"/>
  <c r="AJ28" i="258"/>
  <c r="H7" i="258" s="1"/>
  <c r="K7" i="258" s="1"/>
  <c r="AJ27" i="258"/>
  <c r="H5" i="258" s="1"/>
  <c r="K5" i="258" s="1"/>
  <c r="AJ26" i="258"/>
  <c r="B26" i="258"/>
  <c r="H8" i="258"/>
  <c r="K8" i="258" s="1"/>
  <c r="K6" i="258"/>
  <c r="H4" i="258"/>
  <c r="K4" i="258" s="1"/>
  <c r="AJ30" i="257"/>
  <c r="AJ29" i="257"/>
  <c r="AJ28" i="257"/>
  <c r="H7" i="257" s="1"/>
  <c r="K7" i="257" s="1"/>
  <c r="AJ27" i="257"/>
  <c r="H5" i="257" s="1"/>
  <c r="K5" i="257" s="1"/>
  <c r="AJ26" i="257"/>
  <c r="B26" i="257"/>
  <c r="H8" i="257"/>
  <c r="K8" i="257" s="1"/>
  <c r="K6" i="257"/>
  <c r="H4" i="257"/>
  <c r="K4" i="257" s="1"/>
  <c r="H17" i="257" s="1"/>
  <c r="AJ30" i="256"/>
  <c r="AJ29" i="256"/>
  <c r="H8" i="256" s="1"/>
  <c r="K8" i="256" s="1"/>
  <c r="AJ28" i="256"/>
  <c r="H7" i="256" s="1"/>
  <c r="K7" i="256" s="1"/>
  <c r="AJ27" i="256"/>
  <c r="H5" i="256" s="1"/>
  <c r="K5" i="256" s="1"/>
  <c r="AJ26" i="256"/>
  <c r="B26" i="256"/>
  <c r="K6" i="256"/>
  <c r="H4" i="256"/>
  <c r="K4" i="256" s="1"/>
  <c r="AJ30" i="255"/>
  <c r="AJ29" i="255"/>
  <c r="H8" i="255" s="1"/>
  <c r="K8" i="255" s="1"/>
  <c r="AJ28" i="255"/>
  <c r="H7" i="255" s="1"/>
  <c r="K7" i="255" s="1"/>
  <c r="AJ27" i="255"/>
  <c r="H5" i="255" s="1"/>
  <c r="K5" i="255" s="1"/>
  <c r="AJ26" i="255"/>
  <c r="H4" i="255" s="1"/>
  <c r="K4" i="255" s="1"/>
  <c r="B26" i="255"/>
  <c r="K6" i="255"/>
  <c r="AJ30" i="254"/>
  <c r="AJ29" i="254"/>
  <c r="H8" i="254" s="1"/>
  <c r="K8" i="254" s="1"/>
  <c r="AJ28" i="254"/>
  <c r="AJ27" i="254"/>
  <c r="H5" i="254" s="1"/>
  <c r="K5" i="254" s="1"/>
  <c r="AJ26" i="254"/>
  <c r="B26" i="254"/>
  <c r="H7" i="254"/>
  <c r="K7" i="254" s="1"/>
  <c r="K6" i="254"/>
  <c r="H4" i="254"/>
  <c r="K4" i="254" s="1"/>
  <c r="AJ30" i="253"/>
  <c r="AJ29" i="253"/>
  <c r="H8" i="253" s="1"/>
  <c r="K8" i="253" s="1"/>
  <c r="AJ28" i="253"/>
  <c r="AJ27" i="253"/>
  <c r="H5" i="253" s="1"/>
  <c r="K5" i="253" s="1"/>
  <c r="AJ26" i="253"/>
  <c r="H4" i="253" s="1"/>
  <c r="K4" i="253" s="1"/>
  <c r="B26" i="253"/>
  <c r="H7" i="253"/>
  <c r="K7" i="253" s="1"/>
  <c r="K6" i="253"/>
  <c r="H17" i="255" l="1"/>
  <c r="T9" i="255" s="1"/>
  <c r="H17" i="260"/>
  <c r="T5" i="260" s="1"/>
  <c r="T16" i="260" s="1"/>
  <c r="T17" i="260" s="1"/>
  <c r="C33" i="1" s="1"/>
  <c r="T5" i="263"/>
  <c r="T16" i="263" s="1"/>
  <c r="T17" i="263" s="1"/>
  <c r="C30" i="1" s="1"/>
  <c r="H17" i="262"/>
  <c r="H17" i="261"/>
  <c r="T5" i="259"/>
  <c r="T16" i="259" s="1"/>
  <c r="T17" i="259" s="1"/>
  <c r="C34" i="1" s="1"/>
  <c r="H17" i="258"/>
  <c r="T5" i="257"/>
  <c r="T16" i="257" s="1"/>
  <c r="T17" i="257" s="1"/>
  <c r="C36" i="1" s="1"/>
  <c r="H17" i="256"/>
  <c r="H17" i="254"/>
  <c r="H17" i="253"/>
  <c r="T5" i="262" l="1"/>
  <c r="T16" i="262" s="1"/>
  <c r="T17" i="262" s="1"/>
  <c r="C31" i="1" s="1"/>
  <c r="T5" i="261"/>
  <c r="T16" i="261" s="1"/>
  <c r="T17" i="261" s="1"/>
  <c r="C32" i="1" s="1"/>
  <c r="T5" i="258"/>
  <c r="T16" i="258" s="1"/>
  <c r="T17" i="258" s="1"/>
  <c r="C35" i="1" s="1"/>
  <c r="T5" i="256"/>
  <c r="T16" i="256" s="1"/>
  <c r="T17" i="256" s="1"/>
  <c r="C37" i="1" s="1"/>
  <c r="T16" i="255"/>
  <c r="T17" i="255" s="1"/>
  <c r="C71" i="1" s="1"/>
  <c r="T16" i="254"/>
  <c r="T17" i="254" s="1"/>
  <c r="C70" i="1" s="1"/>
  <c r="T9" i="254"/>
  <c r="T5" i="253"/>
  <c r="T16" i="253" s="1"/>
  <c r="T17" i="253" s="1"/>
  <c r="C24" i="1" s="1"/>
  <c r="T9" i="213"/>
  <c r="B19" i="1" l="1"/>
  <c r="AJ30" i="252"/>
  <c r="AJ29" i="252"/>
  <c r="H8" i="252" s="1"/>
  <c r="K8" i="252" s="1"/>
  <c r="AJ28" i="252"/>
  <c r="H7" i="252" s="1"/>
  <c r="K7" i="252" s="1"/>
  <c r="AJ27" i="252"/>
  <c r="H5" i="252" s="1"/>
  <c r="K5" i="252" s="1"/>
  <c r="AJ26" i="252"/>
  <c r="H4" i="252" s="1"/>
  <c r="K4" i="252" s="1"/>
  <c r="B26" i="252"/>
  <c r="K6" i="252"/>
  <c r="AJ30" i="251"/>
  <c r="AJ29" i="251"/>
  <c r="H8" i="251" s="1"/>
  <c r="K8" i="251" s="1"/>
  <c r="AJ28" i="251"/>
  <c r="H7" i="251" s="1"/>
  <c r="K7" i="251" s="1"/>
  <c r="AJ27" i="251"/>
  <c r="H5" i="251" s="1"/>
  <c r="K5" i="251" s="1"/>
  <c r="AJ26" i="251"/>
  <c r="H4" i="251" s="1"/>
  <c r="K4" i="251" s="1"/>
  <c r="B26" i="251"/>
  <c r="K6" i="251"/>
  <c r="AJ30" i="250"/>
  <c r="AJ29" i="250"/>
  <c r="AJ28" i="250"/>
  <c r="H7" i="250" s="1"/>
  <c r="K7" i="250" s="1"/>
  <c r="AJ27" i="250"/>
  <c r="H5" i="250" s="1"/>
  <c r="K5" i="250" s="1"/>
  <c r="AJ26" i="250"/>
  <c r="B26" i="250"/>
  <c r="H8" i="250"/>
  <c r="K8" i="250" s="1"/>
  <c r="K6" i="250"/>
  <c r="H4" i="250"/>
  <c r="K4" i="250" s="1"/>
  <c r="AJ30" i="249"/>
  <c r="AJ29" i="249"/>
  <c r="H8" i="249" s="1"/>
  <c r="K8" i="249" s="1"/>
  <c r="AJ28" i="249"/>
  <c r="AJ27" i="249"/>
  <c r="H5" i="249" s="1"/>
  <c r="K5" i="249" s="1"/>
  <c r="AJ26" i="249"/>
  <c r="B26" i="249"/>
  <c r="H7" i="249"/>
  <c r="K7" i="249" s="1"/>
  <c r="K6" i="249"/>
  <c r="H4" i="249"/>
  <c r="K4" i="249" s="1"/>
  <c r="H17" i="251" l="1"/>
  <c r="T9" i="251" s="1"/>
  <c r="T16" i="251" s="1"/>
  <c r="T17" i="251" s="1"/>
  <c r="C68" i="1" s="1"/>
  <c r="H17" i="252"/>
  <c r="H17" i="250"/>
  <c r="T9" i="250" s="1"/>
  <c r="T16" i="250" s="1"/>
  <c r="T17" i="250" s="1"/>
  <c r="C67" i="1" s="1"/>
  <c r="H17" i="249"/>
  <c r="T9" i="249" s="1"/>
  <c r="T16" i="249" s="1"/>
  <c r="T17" i="249" s="1"/>
  <c r="C66" i="1" s="1"/>
  <c r="AJ30" i="151"/>
  <c r="AJ30" i="186"/>
  <c r="AJ30" i="173"/>
  <c r="AJ30" i="154"/>
  <c r="AJ30" i="204"/>
  <c r="AJ30" i="161"/>
  <c r="AJ30" i="174"/>
  <c r="AJ30" i="155"/>
  <c r="AJ30" i="170"/>
  <c r="AJ30" i="187"/>
  <c r="AJ30" i="162"/>
  <c r="AJ30" i="158"/>
  <c r="AJ30" i="189"/>
  <c r="AJ30" i="178"/>
  <c r="AJ30" i="179"/>
  <c r="AJ30" i="181"/>
  <c r="AJ30" i="184"/>
  <c r="AJ30" i="191"/>
  <c r="AJ30" i="192"/>
  <c r="AJ30" i="193"/>
  <c r="AJ30" i="202"/>
  <c r="AJ30" i="208"/>
  <c r="AJ30" i="209"/>
  <c r="AJ30" i="210"/>
  <c r="AJ30" i="221"/>
  <c r="AJ30" i="175"/>
  <c r="AJ30" i="194"/>
  <c r="AJ30" i="195"/>
  <c r="AJ30" i="196"/>
  <c r="AJ30" i="197"/>
  <c r="AJ30" i="198"/>
  <c r="AJ30" i="199"/>
  <c r="AJ30" i="200"/>
  <c r="AJ30" i="201"/>
  <c r="AJ30" i="203"/>
  <c r="AJ30" i="205"/>
  <c r="AJ30" i="206"/>
  <c r="AJ30" i="213"/>
  <c r="AJ30" i="214"/>
  <c r="AJ30" i="222"/>
  <c r="AJ30" i="235"/>
  <c r="AJ30" i="236"/>
  <c r="AJ30" i="237"/>
  <c r="AJ30" i="238"/>
  <c r="AJ30" i="239"/>
  <c r="AJ30" i="240"/>
  <c r="AJ30" i="241"/>
  <c r="AJ30" i="242"/>
  <c r="AJ30" i="243"/>
  <c r="AJ30" i="244"/>
  <c r="AJ30" i="246"/>
  <c r="AJ30" i="245"/>
  <c r="AJ30" i="247"/>
  <c r="AJ30" i="185"/>
  <c r="AJ29" i="151"/>
  <c r="AJ29" i="186"/>
  <c r="AJ29" i="173"/>
  <c r="AJ29" i="154"/>
  <c r="AJ29" i="204"/>
  <c r="AJ29" i="161"/>
  <c r="AJ29" i="174"/>
  <c r="AJ29" i="155"/>
  <c r="AJ29" i="170"/>
  <c r="AJ29" i="187"/>
  <c r="AJ29" i="162"/>
  <c r="AJ29" i="158"/>
  <c r="AJ29" i="189"/>
  <c r="AJ29" i="178"/>
  <c r="AJ29" i="179"/>
  <c r="AJ29" i="181"/>
  <c r="AJ29" i="184"/>
  <c r="AJ29" i="191"/>
  <c r="AJ29" i="192"/>
  <c r="AJ29" i="193"/>
  <c r="AJ29" i="202"/>
  <c r="AJ29" i="208"/>
  <c r="AJ29" i="209"/>
  <c r="AJ29" i="210"/>
  <c r="AJ29" i="221"/>
  <c r="AJ29" i="175"/>
  <c r="AJ29" i="194"/>
  <c r="AJ29" i="195"/>
  <c r="AJ29" i="196"/>
  <c r="AJ29" i="197"/>
  <c r="AJ29" i="198"/>
  <c r="AJ29" i="199"/>
  <c r="AJ29" i="200"/>
  <c r="AJ29" i="201"/>
  <c r="AJ29" i="203"/>
  <c r="AJ29" i="205"/>
  <c r="AJ29" i="206"/>
  <c r="AJ29" i="213"/>
  <c r="AJ29" i="214"/>
  <c r="AJ29" i="222"/>
  <c r="AJ29" i="235"/>
  <c r="AJ29" i="236"/>
  <c r="AJ29" i="237"/>
  <c r="AJ29" i="238"/>
  <c r="AJ29" i="239"/>
  <c r="AJ29" i="240"/>
  <c r="AJ29" i="241"/>
  <c r="AJ29" i="242"/>
  <c r="AJ29" i="243"/>
  <c r="AJ29" i="244"/>
  <c r="AJ29" i="246"/>
  <c r="AJ29" i="245"/>
  <c r="AJ29" i="247"/>
  <c r="AJ29" i="185"/>
  <c r="AJ28" i="151"/>
  <c r="AJ28" i="186"/>
  <c r="AJ28" i="173"/>
  <c r="AJ28" i="154"/>
  <c r="AJ28" i="204"/>
  <c r="AJ28" i="161"/>
  <c r="AJ28" i="174"/>
  <c r="AJ28" i="155"/>
  <c r="AJ28" i="170"/>
  <c r="AJ28" i="187"/>
  <c r="AJ28" i="162"/>
  <c r="AJ28" i="158"/>
  <c r="AJ28" i="189"/>
  <c r="AJ28" i="178"/>
  <c r="AJ28" i="179"/>
  <c r="AJ28" i="181"/>
  <c r="AJ28" i="184"/>
  <c r="AJ28" i="191"/>
  <c r="AJ28" i="192"/>
  <c r="AJ28" i="193"/>
  <c r="AJ28" i="202"/>
  <c r="AJ28" i="208"/>
  <c r="AJ28" i="209"/>
  <c r="AJ28" i="210"/>
  <c r="AJ28" i="221"/>
  <c r="AJ28" i="175"/>
  <c r="AJ28" i="194"/>
  <c r="AJ28" i="195"/>
  <c r="AJ28" i="196"/>
  <c r="AJ28" i="197"/>
  <c r="AJ28" i="198"/>
  <c r="AJ28" i="199"/>
  <c r="AJ28" i="200"/>
  <c r="AJ28" i="201"/>
  <c r="AJ28" i="203"/>
  <c r="AJ28" i="205"/>
  <c r="AJ28" i="206"/>
  <c r="AJ28" i="213"/>
  <c r="AJ28" i="214"/>
  <c r="AJ28" i="222"/>
  <c r="AJ28" i="235"/>
  <c r="AJ28" i="236"/>
  <c r="AJ28" i="237"/>
  <c r="AJ28" i="238"/>
  <c r="AJ28" i="239"/>
  <c r="AJ28" i="240"/>
  <c r="AJ28" i="241"/>
  <c r="AJ28" i="242"/>
  <c r="AJ28" i="243"/>
  <c r="AJ28" i="244"/>
  <c r="AJ28" i="246"/>
  <c r="AJ28" i="245"/>
  <c r="AJ28" i="247"/>
  <c r="AJ28" i="185"/>
  <c r="AJ27" i="151"/>
  <c r="AJ27" i="186"/>
  <c r="AJ27" i="173"/>
  <c r="AJ27" i="154"/>
  <c r="AJ27" i="204"/>
  <c r="AJ27" i="161"/>
  <c r="AJ27" i="174"/>
  <c r="AJ27" i="155"/>
  <c r="AJ27" i="170"/>
  <c r="AJ27" i="187"/>
  <c r="AJ27" i="162"/>
  <c r="AJ27" i="158"/>
  <c r="AJ27" i="189"/>
  <c r="AJ27" i="178"/>
  <c r="AJ27" i="179"/>
  <c r="AJ27" i="181"/>
  <c r="AJ27" i="184"/>
  <c r="AJ27" i="191"/>
  <c r="AJ27" i="192"/>
  <c r="AJ27" i="193"/>
  <c r="AJ27" i="202"/>
  <c r="AJ27" i="208"/>
  <c r="AJ27" i="209"/>
  <c r="AJ27" i="210"/>
  <c r="AJ27" i="221"/>
  <c r="AJ27" i="175"/>
  <c r="AJ27" i="194"/>
  <c r="AJ27" i="195"/>
  <c r="AJ27" i="196"/>
  <c r="AJ27" i="197"/>
  <c r="AJ27" i="198"/>
  <c r="AJ27" i="199"/>
  <c r="AJ27" i="200"/>
  <c r="AJ27" i="201"/>
  <c r="AJ27" i="203"/>
  <c r="AJ27" i="205"/>
  <c r="AJ27" i="206"/>
  <c r="AJ27" i="213"/>
  <c r="AJ27" i="214"/>
  <c r="AJ27" i="222"/>
  <c r="AJ27" i="235"/>
  <c r="AJ27" i="236"/>
  <c r="AJ27" i="237"/>
  <c r="AJ27" i="238"/>
  <c r="AJ27" i="239"/>
  <c r="AJ27" i="240"/>
  <c r="AJ27" i="241"/>
  <c r="AJ27" i="242"/>
  <c r="AJ27" i="243"/>
  <c r="AJ27" i="244"/>
  <c r="AJ27" i="246"/>
  <c r="AJ27" i="245"/>
  <c r="AJ27" i="247"/>
  <c r="AJ27" i="185"/>
  <c r="AJ26" i="151"/>
  <c r="AJ26" i="186"/>
  <c r="AJ26" i="173"/>
  <c r="AJ26" i="154"/>
  <c r="AJ26" i="204"/>
  <c r="AJ26" i="161"/>
  <c r="AJ26" i="174"/>
  <c r="AJ26" i="155"/>
  <c r="AJ26" i="170"/>
  <c r="AJ26" i="187"/>
  <c r="AJ26" i="162"/>
  <c r="AJ26" i="158"/>
  <c r="AJ26" i="189"/>
  <c r="AJ26" i="178"/>
  <c r="AJ26" i="179"/>
  <c r="AJ26" i="181"/>
  <c r="AJ26" i="184"/>
  <c r="AJ26" i="191"/>
  <c r="AJ26" i="192"/>
  <c r="AJ26" i="193"/>
  <c r="AJ26" i="202"/>
  <c r="AJ26" i="208"/>
  <c r="AJ26" i="209"/>
  <c r="AJ26" i="210"/>
  <c r="AJ26" i="221"/>
  <c r="AJ26" i="175"/>
  <c r="AJ26" i="194"/>
  <c r="AJ26" i="195"/>
  <c r="AJ26" i="196"/>
  <c r="AJ26" i="197"/>
  <c r="AJ26" i="198"/>
  <c r="AJ26" i="199"/>
  <c r="AJ26" i="200"/>
  <c r="AJ26" i="201"/>
  <c r="AJ26" i="203"/>
  <c r="AJ26" i="205"/>
  <c r="AJ26" i="206"/>
  <c r="AJ26" i="213"/>
  <c r="AJ26" i="214"/>
  <c r="AJ26" i="222"/>
  <c r="AJ26" i="235"/>
  <c r="AJ26" i="236"/>
  <c r="AJ26" i="237"/>
  <c r="AJ26" i="238"/>
  <c r="AJ26" i="239"/>
  <c r="AJ26" i="240"/>
  <c r="AJ26" i="241"/>
  <c r="AJ26" i="242"/>
  <c r="AJ26" i="243"/>
  <c r="AJ26" i="244"/>
  <c r="AJ26" i="246"/>
  <c r="AJ26" i="245"/>
  <c r="AJ26" i="247"/>
  <c r="AJ26" i="185"/>
  <c r="K10" i="151"/>
  <c r="K10" i="186"/>
  <c r="K10" i="173"/>
  <c r="K10" i="154"/>
  <c r="K10" i="204"/>
  <c r="K10" i="185"/>
  <c r="K6" i="151"/>
  <c r="K6" i="186"/>
  <c r="K6" i="173"/>
  <c r="K6" i="154"/>
  <c r="K6" i="204"/>
  <c r="K6" i="161"/>
  <c r="K6" i="174"/>
  <c r="K6" i="155"/>
  <c r="K6" i="170"/>
  <c r="K6" i="187"/>
  <c r="K6" i="162"/>
  <c r="K6" i="158"/>
  <c r="K6" i="189"/>
  <c r="K6" i="178"/>
  <c r="K6" i="179"/>
  <c r="K6" i="181"/>
  <c r="K6" i="184"/>
  <c r="K6" i="191"/>
  <c r="K6" i="192"/>
  <c r="K6" i="193"/>
  <c r="K6" i="202"/>
  <c r="K6" i="208"/>
  <c r="K6" i="209"/>
  <c r="K6" i="210"/>
  <c r="K6" i="221"/>
  <c r="K6" i="175"/>
  <c r="K6" i="194"/>
  <c r="K6" i="195"/>
  <c r="K6" i="196"/>
  <c r="K6" i="197"/>
  <c r="K6" i="198"/>
  <c r="K6" i="199"/>
  <c r="K6" i="200"/>
  <c r="K6" i="201"/>
  <c r="K6" i="203"/>
  <c r="K6" i="205"/>
  <c r="K6" i="206"/>
  <c r="K6" i="213"/>
  <c r="K6" i="214"/>
  <c r="K6" i="222"/>
  <c r="K6" i="235"/>
  <c r="K6" i="236"/>
  <c r="K6" i="237"/>
  <c r="K6" i="238"/>
  <c r="K6" i="239"/>
  <c r="K6" i="240"/>
  <c r="K6" i="241"/>
  <c r="K6" i="242"/>
  <c r="K6" i="243"/>
  <c r="K6" i="244"/>
  <c r="K6" i="246"/>
  <c r="K6" i="245"/>
  <c r="K6" i="247"/>
  <c r="K6" i="185"/>
  <c r="T9" i="252" l="1"/>
  <c r="B26" i="198"/>
  <c r="T16" i="252" l="1"/>
  <c r="T17" i="252" s="1"/>
  <c r="C69" i="1" s="1"/>
  <c r="H8" i="247" l="1"/>
  <c r="K8" i="247" s="1"/>
  <c r="H7" i="247"/>
  <c r="K7" i="247" s="1"/>
  <c r="H5" i="247"/>
  <c r="K5" i="247" s="1"/>
  <c r="H4" i="247"/>
  <c r="K4" i="247" s="1"/>
  <c r="B26" i="247"/>
  <c r="H8" i="246"/>
  <c r="K8" i="246" s="1"/>
  <c r="H7" i="246"/>
  <c r="K7" i="246" s="1"/>
  <c r="H5" i="246"/>
  <c r="K5" i="246" s="1"/>
  <c r="H4" i="246"/>
  <c r="K4" i="246" s="1"/>
  <c r="B26" i="246"/>
  <c r="H8" i="245"/>
  <c r="K8" i="245" s="1"/>
  <c r="H7" i="245"/>
  <c r="K7" i="245" s="1"/>
  <c r="H5" i="245"/>
  <c r="K5" i="245" s="1"/>
  <c r="H4" i="245"/>
  <c r="K4" i="245" s="1"/>
  <c r="B26" i="245"/>
  <c r="H8" i="244"/>
  <c r="K8" i="244" s="1"/>
  <c r="H7" i="244"/>
  <c r="K7" i="244" s="1"/>
  <c r="H5" i="244"/>
  <c r="K5" i="244" s="1"/>
  <c r="H4" i="244"/>
  <c r="K4" i="244" s="1"/>
  <c r="B26" i="244"/>
  <c r="H8" i="243"/>
  <c r="K8" i="243" s="1"/>
  <c r="H7" i="243"/>
  <c r="K7" i="243" s="1"/>
  <c r="H5" i="243"/>
  <c r="K5" i="243" s="1"/>
  <c r="H4" i="243"/>
  <c r="K4" i="243" s="1"/>
  <c r="B26" i="243"/>
  <c r="H8" i="242"/>
  <c r="K8" i="242" s="1"/>
  <c r="H7" i="242"/>
  <c r="K7" i="242" s="1"/>
  <c r="H5" i="242"/>
  <c r="K5" i="242" s="1"/>
  <c r="H4" i="242"/>
  <c r="K4" i="242" s="1"/>
  <c r="B26" i="242"/>
  <c r="H8" i="241"/>
  <c r="K8" i="241" s="1"/>
  <c r="H7" i="241"/>
  <c r="K7" i="241" s="1"/>
  <c r="H5" i="241"/>
  <c r="K5" i="241" s="1"/>
  <c r="H4" i="241"/>
  <c r="K4" i="241" s="1"/>
  <c r="B26" i="241"/>
  <c r="H8" i="240"/>
  <c r="K8" i="240" s="1"/>
  <c r="H7" i="240"/>
  <c r="K7" i="240" s="1"/>
  <c r="H5" i="240"/>
  <c r="K5" i="240" s="1"/>
  <c r="H4" i="240"/>
  <c r="K4" i="240" s="1"/>
  <c r="B26" i="240"/>
  <c r="H8" i="239"/>
  <c r="K8" i="239" s="1"/>
  <c r="H7" i="239"/>
  <c r="K7" i="239" s="1"/>
  <c r="H5" i="239"/>
  <c r="K5" i="239" s="1"/>
  <c r="H4" i="239"/>
  <c r="K4" i="239" s="1"/>
  <c r="B26" i="239"/>
  <c r="H8" i="238"/>
  <c r="K8" i="238" s="1"/>
  <c r="H7" i="238"/>
  <c r="K7" i="238" s="1"/>
  <c r="H5" i="238"/>
  <c r="K5" i="238" s="1"/>
  <c r="H4" i="238"/>
  <c r="K4" i="238" s="1"/>
  <c r="B26" i="238"/>
  <c r="H8" i="237"/>
  <c r="K8" i="237" s="1"/>
  <c r="H7" i="237"/>
  <c r="K7" i="237" s="1"/>
  <c r="H5" i="237"/>
  <c r="K5" i="237" s="1"/>
  <c r="H4" i="237"/>
  <c r="K4" i="237" s="1"/>
  <c r="B26" i="237"/>
  <c r="H8" i="236"/>
  <c r="K8" i="236" s="1"/>
  <c r="H7" i="236"/>
  <c r="K7" i="236" s="1"/>
  <c r="H5" i="236"/>
  <c r="K5" i="236" s="1"/>
  <c r="H4" i="236"/>
  <c r="K4" i="236" s="1"/>
  <c r="B26" i="236"/>
  <c r="H8" i="235"/>
  <c r="K8" i="235" s="1"/>
  <c r="H7" i="235"/>
  <c r="K7" i="235" s="1"/>
  <c r="H5" i="235"/>
  <c r="K5" i="235" s="1"/>
  <c r="H4" i="235"/>
  <c r="K4" i="235" s="1"/>
  <c r="B26" i="235"/>
  <c r="H17" i="235" l="1"/>
  <c r="T5" i="235" s="1"/>
  <c r="H17" i="238"/>
  <c r="T9" i="238" s="1"/>
  <c r="H17" i="241"/>
  <c r="H17" i="244"/>
  <c r="T9" i="244" s="1"/>
  <c r="H17" i="243"/>
  <c r="H17" i="242"/>
  <c r="H17" i="247"/>
  <c r="T9" i="247" s="1"/>
  <c r="H17" i="236"/>
  <c r="T9" i="236" s="1"/>
  <c r="H17" i="246"/>
  <c r="T9" i="246" s="1"/>
  <c r="H17" i="239"/>
  <c r="T9" i="239" s="1"/>
  <c r="H17" i="237"/>
  <c r="T9" i="237" s="1"/>
  <c r="H17" i="240"/>
  <c r="H17" i="245"/>
  <c r="T9" i="245" s="1"/>
  <c r="B23" i="1"/>
  <c r="B22" i="1"/>
  <c r="B21" i="1"/>
  <c r="H8" i="222"/>
  <c r="K8" i="222" s="1"/>
  <c r="H7" i="222"/>
  <c r="K7" i="222" s="1"/>
  <c r="H5" i="222"/>
  <c r="K5" i="222" s="1"/>
  <c r="H4" i="222"/>
  <c r="K4" i="222" s="1"/>
  <c r="B26" i="222"/>
  <c r="T9" i="242" l="1"/>
  <c r="T16" i="242"/>
  <c r="T9" i="240"/>
  <c r="T16" i="240"/>
  <c r="T17" i="240" s="1"/>
  <c r="C58" i="1" s="1"/>
  <c r="E58" i="1" s="1"/>
  <c r="T16" i="236"/>
  <c r="T17" i="236" s="1"/>
  <c r="C54" i="1" s="1"/>
  <c r="T16" i="244"/>
  <c r="T16" i="237"/>
  <c r="T17" i="237" s="1"/>
  <c r="C55" i="1" s="1"/>
  <c r="T16" i="243"/>
  <c r="T16" i="241"/>
  <c r="T16" i="239"/>
  <c r="H17" i="222"/>
  <c r="T16" i="247"/>
  <c r="T16" i="246"/>
  <c r="T17" i="246" s="1"/>
  <c r="T16" i="245"/>
  <c r="B20" i="1"/>
  <c r="B18" i="1"/>
  <c r="B17" i="1"/>
  <c r="B16" i="1"/>
  <c r="B15" i="1"/>
  <c r="B14" i="1"/>
  <c r="B11" i="1"/>
  <c r="B10" i="1"/>
  <c r="B9" i="1"/>
  <c r="B8" i="1"/>
  <c r="B5" i="1"/>
  <c r="B4" i="1"/>
  <c r="B3" i="1"/>
  <c r="C63" i="1" l="1"/>
  <c r="T16" i="222"/>
  <c r="T17" i="222" s="1"/>
  <c r="C52" i="1" s="1"/>
  <c r="T17" i="241"/>
  <c r="C59" i="1" s="1"/>
  <c r="T17" i="243"/>
  <c r="C61" i="1" s="1"/>
  <c r="E61" i="1" s="1"/>
  <c r="T17" i="247"/>
  <c r="C65" i="1" s="1"/>
  <c r="T17" i="245"/>
  <c r="C64" i="1" s="1"/>
  <c r="T17" i="244"/>
  <c r="C62" i="1" s="1"/>
  <c r="T17" i="242"/>
  <c r="C60" i="1" s="1"/>
  <c r="E60" i="1" s="1"/>
  <c r="T17" i="239"/>
  <c r="C57" i="1" s="1"/>
  <c r="T16" i="235"/>
  <c r="T16" i="238"/>
  <c r="H8" i="221"/>
  <c r="K8" i="221" s="1"/>
  <c r="H7" i="221"/>
  <c r="K7" i="221" s="1"/>
  <c r="H5" i="221"/>
  <c r="K5" i="221" s="1"/>
  <c r="H4" i="221"/>
  <c r="K4" i="221" s="1"/>
  <c r="B26" i="221"/>
  <c r="H8" i="214"/>
  <c r="K8" i="214" s="1"/>
  <c r="H7" i="214"/>
  <c r="K7" i="214" s="1"/>
  <c r="H5" i="214"/>
  <c r="K5" i="214" s="1"/>
  <c r="H4" i="214"/>
  <c r="K4" i="214" s="1"/>
  <c r="B26" i="214"/>
  <c r="H8" i="213"/>
  <c r="K8" i="213" s="1"/>
  <c r="H7" i="213"/>
  <c r="K7" i="213" s="1"/>
  <c r="H5" i="213"/>
  <c r="K5" i="213" s="1"/>
  <c r="H4" i="213"/>
  <c r="K4" i="213" s="1"/>
  <c r="B26" i="213"/>
  <c r="H8" i="210"/>
  <c r="K8" i="210" s="1"/>
  <c r="H7" i="210"/>
  <c r="K7" i="210" s="1"/>
  <c r="H5" i="210"/>
  <c r="K5" i="210" s="1"/>
  <c r="H4" i="210"/>
  <c r="K4" i="210" s="1"/>
  <c r="B26" i="210"/>
  <c r="H8" i="209"/>
  <c r="K8" i="209" s="1"/>
  <c r="H7" i="209"/>
  <c r="K7" i="209" s="1"/>
  <c r="H5" i="209"/>
  <c r="K5" i="209" s="1"/>
  <c r="H4" i="209"/>
  <c r="K4" i="209" s="1"/>
  <c r="B26" i="209"/>
  <c r="H8" i="208"/>
  <c r="K8" i="208" s="1"/>
  <c r="H7" i="208"/>
  <c r="K7" i="208" s="1"/>
  <c r="H5" i="208"/>
  <c r="K5" i="208" s="1"/>
  <c r="H4" i="208"/>
  <c r="K4" i="208" s="1"/>
  <c r="B26" i="208"/>
  <c r="H8" i="206"/>
  <c r="K8" i="206" s="1"/>
  <c r="H7" i="206"/>
  <c r="K7" i="206" s="1"/>
  <c r="H5" i="206"/>
  <c r="K5" i="206" s="1"/>
  <c r="H4" i="206"/>
  <c r="K4" i="206" s="1"/>
  <c r="B26" i="206"/>
  <c r="H8" i="205"/>
  <c r="K8" i="205" s="1"/>
  <c r="H7" i="205"/>
  <c r="K7" i="205" s="1"/>
  <c r="H5" i="205"/>
  <c r="K5" i="205" s="1"/>
  <c r="H4" i="205"/>
  <c r="K4" i="205" s="1"/>
  <c r="B26" i="205"/>
  <c r="H8" i="204"/>
  <c r="K8" i="204" s="1"/>
  <c r="H7" i="204"/>
  <c r="K7" i="204" s="1"/>
  <c r="H5" i="204"/>
  <c r="K5" i="204" s="1"/>
  <c r="H4" i="204"/>
  <c r="K4" i="204" s="1"/>
  <c r="B26" i="204"/>
  <c r="H8" i="203"/>
  <c r="K8" i="203" s="1"/>
  <c r="H7" i="203"/>
  <c r="K7" i="203" s="1"/>
  <c r="H5" i="203"/>
  <c r="K5" i="203" s="1"/>
  <c r="H4" i="203"/>
  <c r="K4" i="203" s="1"/>
  <c r="B26" i="203"/>
  <c r="H8" i="202"/>
  <c r="K8" i="202" s="1"/>
  <c r="H7" i="202"/>
  <c r="K7" i="202" s="1"/>
  <c r="H5" i="202"/>
  <c r="K5" i="202" s="1"/>
  <c r="H4" i="202"/>
  <c r="K4" i="202" s="1"/>
  <c r="B26" i="202"/>
  <c r="H8" i="201"/>
  <c r="K8" i="201" s="1"/>
  <c r="H7" i="201"/>
  <c r="K7" i="201" s="1"/>
  <c r="H5" i="201"/>
  <c r="K5" i="201" s="1"/>
  <c r="H4" i="201"/>
  <c r="K4" i="201" s="1"/>
  <c r="B26" i="201"/>
  <c r="H8" i="200"/>
  <c r="K8" i="200" s="1"/>
  <c r="H7" i="200"/>
  <c r="K7" i="200" s="1"/>
  <c r="H5" i="200"/>
  <c r="K5" i="200" s="1"/>
  <c r="H4" i="200"/>
  <c r="K4" i="200" s="1"/>
  <c r="B26" i="200"/>
  <c r="H8" i="199"/>
  <c r="K8" i="199" s="1"/>
  <c r="H7" i="199"/>
  <c r="K7" i="199" s="1"/>
  <c r="H5" i="199"/>
  <c r="K5" i="199" s="1"/>
  <c r="H4" i="199"/>
  <c r="K4" i="199" s="1"/>
  <c r="B26" i="199"/>
  <c r="H8" i="198"/>
  <c r="K8" i="198" s="1"/>
  <c r="H7" i="198"/>
  <c r="K7" i="198" s="1"/>
  <c r="H5" i="198"/>
  <c r="K5" i="198" s="1"/>
  <c r="H4" i="198"/>
  <c r="K4" i="198" s="1"/>
  <c r="H8" i="197"/>
  <c r="K8" i="197" s="1"/>
  <c r="H7" i="197"/>
  <c r="K7" i="197" s="1"/>
  <c r="H5" i="197"/>
  <c r="K5" i="197" s="1"/>
  <c r="H4" i="197"/>
  <c r="K4" i="197" s="1"/>
  <c r="B26" i="197"/>
  <c r="H8" i="196"/>
  <c r="K8" i="196" s="1"/>
  <c r="H7" i="196"/>
  <c r="K7" i="196" s="1"/>
  <c r="H5" i="196"/>
  <c r="K5" i="196" s="1"/>
  <c r="H4" i="196"/>
  <c r="K4" i="196" s="1"/>
  <c r="B26" i="196"/>
  <c r="H8" i="195"/>
  <c r="K8" i="195" s="1"/>
  <c r="H7" i="195"/>
  <c r="K7" i="195" s="1"/>
  <c r="H5" i="195"/>
  <c r="K5" i="195" s="1"/>
  <c r="H4" i="195"/>
  <c r="K4" i="195" s="1"/>
  <c r="B26" i="195"/>
  <c r="H8" i="194"/>
  <c r="K8" i="194" s="1"/>
  <c r="H7" i="194"/>
  <c r="K7" i="194" s="1"/>
  <c r="H5" i="194"/>
  <c r="K5" i="194" s="1"/>
  <c r="H4" i="194"/>
  <c r="K4" i="194" s="1"/>
  <c r="B26" i="194"/>
  <c r="H8" i="193"/>
  <c r="K8" i="193" s="1"/>
  <c r="H7" i="193"/>
  <c r="K7" i="193" s="1"/>
  <c r="H5" i="193"/>
  <c r="K5" i="193" s="1"/>
  <c r="H4" i="193"/>
  <c r="K4" i="193" s="1"/>
  <c r="B26" i="193"/>
  <c r="H8" i="192"/>
  <c r="K8" i="192" s="1"/>
  <c r="H7" i="192"/>
  <c r="K7" i="192" s="1"/>
  <c r="H5" i="192"/>
  <c r="K5" i="192" s="1"/>
  <c r="H4" i="192"/>
  <c r="K4" i="192" s="1"/>
  <c r="B26" i="192"/>
  <c r="H8" i="191"/>
  <c r="K8" i="191" s="1"/>
  <c r="H7" i="191"/>
  <c r="K7" i="191" s="1"/>
  <c r="H5" i="191"/>
  <c r="K5" i="191" s="1"/>
  <c r="H4" i="191"/>
  <c r="K4" i="191" s="1"/>
  <c r="B26" i="191"/>
  <c r="T17" i="235" l="1"/>
  <c r="C53" i="1" s="1"/>
  <c r="T17" i="238"/>
  <c r="C56" i="1" s="1"/>
  <c r="H17" i="192"/>
  <c r="H17" i="198"/>
  <c r="T5" i="198" s="1"/>
  <c r="H17" i="209"/>
  <c r="H17" i="196"/>
  <c r="H17" i="202"/>
  <c r="H17" i="221"/>
  <c r="H17" i="210"/>
  <c r="H17" i="197"/>
  <c r="H17" i="208"/>
  <c r="H17" i="204"/>
  <c r="H17" i="195"/>
  <c r="H17" i="214"/>
  <c r="H17" i="203"/>
  <c r="T9" i="203" s="1"/>
  <c r="H17" i="199"/>
  <c r="H17" i="206"/>
  <c r="H17" i="205"/>
  <c r="T5" i="205" s="1"/>
  <c r="H17" i="201"/>
  <c r="T5" i="201" s="1"/>
  <c r="H17" i="200"/>
  <c r="H17" i="194"/>
  <c r="H17" i="193"/>
  <c r="H17" i="191"/>
  <c r="H8" i="189"/>
  <c r="K8" i="189" s="1"/>
  <c r="H7" i="189"/>
  <c r="K7" i="189" s="1"/>
  <c r="H5" i="189"/>
  <c r="K5" i="189" s="1"/>
  <c r="H4" i="189"/>
  <c r="K4" i="189" s="1"/>
  <c r="B26" i="189"/>
  <c r="H8" i="187"/>
  <c r="H7" i="187"/>
  <c r="K7" i="187" s="1"/>
  <c r="H5" i="187"/>
  <c r="K5" i="187" s="1"/>
  <c r="H4" i="187"/>
  <c r="K4" i="187" s="1"/>
  <c r="B26" i="187"/>
  <c r="H8" i="186"/>
  <c r="K8" i="186" s="1"/>
  <c r="H7" i="186"/>
  <c r="K7" i="186" s="1"/>
  <c r="H5" i="186"/>
  <c r="K5" i="186" s="1"/>
  <c r="H4" i="186"/>
  <c r="K4" i="186" s="1"/>
  <c r="B26" i="186"/>
  <c r="T16" i="221" l="1"/>
  <c r="T17" i="221" s="1"/>
  <c r="C39" i="1" s="1"/>
  <c r="T9" i="197"/>
  <c r="T5" i="206"/>
  <c r="T16" i="206" s="1"/>
  <c r="T17" i="206" s="1"/>
  <c r="C38" i="1" s="1"/>
  <c r="T16" i="213"/>
  <c r="T17" i="213" s="1"/>
  <c r="C26" i="1" s="1"/>
  <c r="T16" i="214"/>
  <c r="T17" i="214" s="1"/>
  <c r="C51" i="1" s="1"/>
  <c r="E51" i="1" s="1"/>
  <c r="T5" i="202"/>
  <c r="T5" i="192"/>
  <c r="T5" i="191"/>
  <c r="T5" i="193"/>
  <c r="T5" i="204"/>
  <c r="T5" i="208"/>
  <c r="H17" i="186"/>
  <c r="T5" i="210"/>
  <c r="T5" i="209"/>
  <c r="H17" i="189"/>
  <c r="T16" i="196" l="1"/>
  <c r="T17" i="196" s="1"/>
  <c r="T16" i="194"/>
  <c r="T17" i="194" s="1"/>
  <c r="T5" i="187"/>
  <c r="T16" i="198"/>
  <c r="T16" i="210"/>
  <c r="T16" i="193"/>
  <c r="T5" i="189"/>
  <c r="T16" i="189" s="1"/>
  <c r="T17" i="189" s="1"/>
  <c r="C19" i="1" s="1"/>
  <c r="T16" i="201"/>
  <c r="T16" i="197"/>
  <c r="T16" i="204"/>
  <c r="T16" i="195"/>
  <c r="T16" i="208"/>
  <c r="T16" i="205"/>
  <c r="C50" i="1" s="1"/>
  <c r="T16" i="203"/>
  <c r="T5" i="186"/>
  <c r="T16" i="186" s="1"/>
  <c r="T17" i="186" s="1"/>
  <c r="C5" i="1" s="1"/>
  <c r="E5" i="1" s="1"/>
  <c r="T16" i="192"/>
  <c r="T16" i="202"/>
  <c r="T16" i="200"/>
  <c r="T16" i="209"/>
  <c r="T16" i="199"/>
  <c r="T16" i="191"/>
  <c r="C48" i="1" l="1"/>
  <c r="C47" i="1"/>
  <c r="C45" i="1"/>
  <c r="C42" i="1"/>
  <c r="C41" i="1"/>
  <c r="T17" i="191"/>
  <c r="T17" i="210"/>
  <c r="T17" i="209"/>
  <c r="T17" i="202"/>
  <c r="T17" i="192"/>
  <c r="T17" i="203"/>
  <c r="T17" i="208"/>
  <c r="C28" i="1" s="1"/>
  <c r="T17" i="204"/>
  <c r="C8" i="1" s="1"/>
  <c r="E8" i="1" s="1"/>
  <c r="T17" i="197"/>
  <c r="T17" i="193"/>
  <c r="H8" i="185"/>
  <c r="K8" i="185" s="1"/>
  <c r="H7" i="185"/>
  <c r="K7" i="185" s="1"/>
  <c r="H5" i="185"/>
  <c r="K5" i="185" s="1"/>
  <c r="H4" i="185"/>
  <c r="K4" i="185" s="1"/>
  <c r="B26" i="185"/>
  <c r="C49" i="1" l="1"/>
  <c r="E49" i="1" s="1"/>
  <c r="C46" i="1"/>
  <c r="C44" i="1"/>
  <c r="C43" i="1"/>
  <c r="C29" i="1"/>
  <c r="C27" i="1"/>
  <c r="C25" i="1"/>
  <c r="C23" i="1"/>
  <c r="C22" i="1"/>
  <c r="C21" i="1"/>
  <c r="C13" i="1"/>
  <c r="H17" i="185"/>
  <c r="H8" i="184"/>
  <c r="K8" i="184" s="1"/>
  <c r="H7" i="184"/>
  <c r="K7" i="184" s="1"/>
  <c r="H5" i="184"/>
  <c r="K5" i="184" s="1"/>
  <c r="H4" i="184"/>
  <c r="K4" i="184" s="1"/>
  <c r="B26" i="184"/>
  <c r="H8" i="181"/>
  <c r="K8" i="181" s="1"/>
  <c r="H7" i="181"/>
  <c r="K7" i="181" s="1"/>
  <c r="H5" i="181"/>
  <c r="K5" i="181" s="1"/>
  <c r="H4" i="181"/>
  <c r="K4" i="181" s="1"/>
  <c r="B26" i="181"/>
  <c r="H8" i="179"/>
  <c r="K8" i="179" s="1"/>
  <c r="H7" i="179"/>
  <c r="K7" i="179" s="1"/>
  <c r="H5" i="179"/>
  <c r="K5" i="179" s="1"/>
  <c r="H4" i="179"/>
  <c r="K4" i="179" s="1"/>
  <c r="B26" i="179"/>
  <c r="H8" i="178"/>
  <c r="K8" i="178" s="1"/>
  <c r="H7" i="178"/>
  <c r="K7" i="178" s="1"/>
  <c r="H5" i="178"/>
  <c r="K5" i="178" s="1"/>
  <c r="H4" i="178"/>
  <c r="K4" i="178" s="1"/>
  <c r="B26" i="178"/>
  <c r="H8" i="175"/>
  <c r="K8" i="175" s="1"/>
  <c r="H7" i="175"/>
  <c r="K7" i="175" s="1"/>
  <c r="H5" i="175"/>
  <c r="K5" i="175" s="1"/>
  <c r="H4" i="175"/>
  <c r="K4" i="175" s="1"/>
  <c r="B26" i="175"/>
  <c r="H8" i="174"/>
  <c r="K8" i="174" s="1"/>
  <c r="H7" i="174"/>
  <c r="K7" i="174" s="1"/>
  <c r="H5" i="174"/>
  <c r="K5" i="174" s="1"/>
  <c r="H4" i="174"/>
  <c r="K4" i="174" s="1"/>
  <c r="B26" i="174"/>
  <c r="T5" i="185" l="1"/>
  <c r="T16" i="185" s="1"/>
  <c r="H17" i="175"/>
  <c r="T5" i="175" s="1"/>
  <c r="H17" i="184"/>
  <c r="H17" i="181"/>
  <c r="H17" i="178"/>
  <c r="H17" i="179"/>
  <c r="H17" i="174"/>
  <c r="H8" i="173"/>
  <c r="K8" i="173" s="1"/>
  <c r="H7" i="173"/>
  <c r="K7" i="173" s="1"/>
  <c r="H5" i="173"/>
  <c r="K5" i="173" s="1"/>
  <c r="H4" i="173"/>
  <c r="K4" i="173" s="1"/>
  <c r="B26" i="173"/>
  <c r="B26" i="170"/>
  <c r="H4" i="170"/>
  <c r="K4" i="170" s="1"/>
  <c r="H5" i="170"/>
  <c r="K5" i="170" s="1"/>
  <c r="H7" i="170"/>
  <c r="K7" i="170" s="1"/>
  <c r="H8" i="170"/>
  <c r="K8" i="170" s="1"/>
  <c r="H17" i="170" l="1"/>
  <c r="T17" i="185"/>
  <c r="T5" i="181"/>
  <c r="T5" i="174"/>
  <c r="T16" i="174" s="1"/>
  <c r="T17" i="174" s="1"/>
  <c r="C10" i="1" s="1"/>
  <c r="E10" i="1" s="1"/>
  <c r="T5" i="178"/>
  <c r="H17" i="173"/>
  <c r="T5" i="184"/>
  <c r="T5" i="179"/>
  <c r="T16" i="175" l="1"/>
  <c r="T17" i="175" s="1"/>
  <c r="C3" i="1"/>
  <c r="T5" i="170"/>
  <c r="T16" i="170" s="1"/>
  <c r="T17" i="170" s="1"/>
  <c r="T16" i="178"/>
  <c r="T16" i="179"/>
  <c r="T16" i="184"/>
  <c r="T16" i="181"/>
  <c r="H8" i="162"/>
  <c r="K8" i="162" s="1"/>
  <c r="H7" i="162"/>
  <c r="K7" i="162" s="1"/>
  <c r="H5" i="162"/>
  <c r="K5" i="162" s="1"/>
  <c r="H4" i="162"/>
  <c r="K4" i="162" s="1"/>
  <c r="B26" i="162"/>
  <c r="H8" i="161"/>
  <c r="K8" i="161" s="1"/>
  <c r="H7" i="161"/>
  <c r="K7" i="161" s="1"/>
  <c r="H5" i="161"/>
  <c r="K5" i="161" s="1"/>
  <c r="H4" i="161"/>
  <c r="K4" i="161" s="1"/>
  <c r="B26" i="161"/>
  <c r="H8" i="158"/>
  <c r="H7" i="158"/>
  <c r="K7" i="158" s="1"/>
  <c r="H5" i="158"/>
  <c r="K5" i="158" s="1"/>
  <c r="H4" i="158"/>
  <c r="K4" i="158" s="1"/>
  <c r="B26" i="158"/>
  <c r="C40" i="1" l="1"/>
  <c r="E13" i="1"/>
  <c r="C12" i="1"/>
  <c r="E12" i="1" s="1"/>
  <c r="E3" i="1"/>
  <c r="T17" i="181"/>
  <c r="T17" i="184"/>
  <c r="T17" i="178"/>
  <c r="T17" i="179"/>
  <c r="H17" i="162"/>
  <c r="H17" i="161"/>
  <c r="H17" i="158"/>
  <c r="T5" i="158" s="1"/>
  <c r="C20" i="1" l="1"/>
  <c r="C18" i="1"/>
  <c r="C17" i="1"/>
  <c r="C16" i="1"/>
  <c r="T17" i="173"/>
  <c r="C7" i="1" s="1"/>
  <c r="T5" i="162"/>
  <c r="T16" i="162" s="1"/>
  <c r="C14" i="1" s="1"/>
  <c r="E14" i="1" s="1"/>
  <c r="T16" i="158"/>
  <c r="C15" i="1" s="1"/>
  <c r="E15" i="1" s="1"/>
  <c r="T5" i="161"/>
  <c r="T16" i="161" s="1"/>
  <c r="T17" i="161" s="1"/>
  <c r="C9" i="1" s="1"/>
  <c r="E9" i="1" s="1"/>
  <c r="H8" i="155" l="1"/>
  <c r="K8" i="155" s="1"/>
  <c r="H7" i="155"/>
  <c r="K7" i="155" s="1"/>
  <c r="H5" i="155"/>
  <c r="K5" i="155" s="1"/>
  <c r="H4" i="155"/>
  <c r="K4" i="155" s="1"/>
  <c r="B26" i="155"/>
  <c r="H8" i="154"/>
  <c r="K8" i="154" s="1"/>
  <c r="H7" i="154"/>
  <c r="K7" i="154" s="1"/>
  <c r="H5" i="154"/>
  <c r="K5" i="154" s="1"/>
  <c r="H4" i="154"/>
  <c r="K4" i="154" s="1"/>
  <c r="B26" i="154"/>
  <c r="H8" i="151"/>
  <c r="K8" i="151" s="1"/>
  <c r="H7" i="151"/>
  <c r="K7" i="151" s="1"/>
  <c r="H5" i="151"/>
  <c r="K5" i="151" s="1"/>
  <c r="H4" i="151"/>
  <c r="K4" i="151" s="1"/>
  <c r="B26" i="151"/>
  <c r="H17" i="154" l="1"/>
  <c r="H17" i="151"/>
  <c r="H17" i="155"/>
  <c r="T5" i="155" l="1"/>
  <c r="T16" i="155" s="1"/>
  <c r="T17" i="155" s="1"/>
  <c r="C11" i="1" s="1"/>
  <c r="E11" i="1" s="1"/>
  <c r="T5" i="151"/>
  <c r="T16" i="151" s="1"/>
  <c r="T17" i="151" s="1"/>
  <c r="C4" i="1" s="1"/>
  <c r="T5" i="154"/>
  <c r="T16" i="154" s="1"/>
  <c r="T17" i="154" s="1"/>
  <c r="E7" i="1" l="1"/>
  <c r="C6" i="1"/>
  <c r="E6" i="1" s="1"/>
  <c r="E4" i="1"/>
  <c r="C72" i="1"/>
</calcChain>
</file>

<file path=xl/sharedStrings.xml><?xml version="1.0" encoding="utf-8"?>
<sst xmlns="http://schemas.openxmlformats.org/spreadsheetml/2006/main" count="4695" uniqueCount="300">
  <si>
    <t>급                여</t>
    <phoneticPr fontId="5" type="noConversion"/>
  </si>
  <si>
    <t>세   액    및    공   제</t>
    <phoneticPr fontId="5" type="noConversion"/>
  </si>
  <si>
    <t>기    본    급</t>
    <phoneticPr fontId="5" type="noConversion"/>
  </si>
  <si>
    <t>갑    근    세</t>
    <phoneticPr fontId="5" type="noConversion"/>
  </si>
  <si>
    <t>잔업수당</t>
    <phoneticPr fontId="5" type="noConversion"/>
  </si>
  <si>
    <t xml:space="preserve">소  득  세 </t>
    <phoneticPr fontId="5" type="noConversion"/>
  </si>
  <si>
    <t>휴일수당</t>
    <phoneticPr fontId="5" type="noConversion"/>
  </si>
  <si>
    <t>건  강  보  험</t>
    <phoneticPr fontId="5" type="noConversion"/>
  </si>
  <si>
    <t>특근수당</t>
    <phoneticPr fontId="5" type="noConversion"/>
  </si>
  <si>
    <t>국  민  연  금</t>
    <phoneticPr fontId="5" type="noConversion"/>
  </si>
  <si>
    <t>공과금</t>
    <phoneticPr fontId="5" type="noConversion"/>
  </si>
  <si>
    <t>가    불    금</t>
    <phoneticPr fontId="5" type="noConversion"/>
  </si>
  <si>
    <t>공  제  총  액</t>
    <phoneticPr fontId="5" type="noConversion"/>
  </si>
  <si>
    <t>급  여  총  액</t>
    <phoneticPr fontId="5" type="noConversion"/>
  </si>
  <si>
    <t>실  수  령  액</t>
    <phoneticPr fontId="5" type="noConversion"/>
  </si>
  <si>
    <t xml:space="preserve">이름 : </t>
    <phoneticPr fontId="5" type="noConversion"/>
  </si>
  <si>
    <t>이름</t>
  </si>
  <si>
    <t>금액</t>
    <phoneticPr fontId="2" type="noConversion"/>
  </si>
  <si>
    <t>장기요양</t>
    <phoneticPr fontId="5" type="noConversion"/>
  </si>
  <si>
    <t>합계</t>
    <phoneticPr fontId="2" type="noConversion"/>
  </si>
  <si>
    <t>화</t>
  </si>
  <si>
    <t>수</t>
  </si>
  <si>
    <t>목</t>
  </si>
  <si>
    <t>금</t>
  </si>
  <si>
    <t>토</t>
  </si>
  <si>
    <t>일</t>
  </si>
  <si>
    <t>월</t>
  </si>
  <si>
    <t>지각/조퇴</t>
    <phoneticPr fontId="5" type="noConversion"/>
  </si>
  <si>
    <t>구분</t>
    <phoneticPr fontId="2" type="noConversion"/>
  </si>
  <si>
    <t>계</t>
    <phoneticPr fontId="2" type="noConversion"/>
  </si>
  <si>
    <t>심야수당</t>
    <phoneticPr fontId="5" type="noConversion"/>
  </si>
  <si>
    <t>부서수당</t>
    <phoneticPr fontId="2" type="noConversion"/>
  </si>
  <si>
    <t>만근수당</t>
    <phoneticPr fontId="2" type="noConversion"/>
  </si>
  <si>
    <t>고용보험</t>
    <phoneticPr fontId="5" type="noConversion"/>
  </si>
  <si>
    <t>순번</t>
    <phoneticPr fontId="2" type="noConversion"/>
  </si>
  <si>
    <t>이름</t>
    <phoneticPr fontId="2" type="noConversion"/>
  </si>
  <si>
    <t xml:space="preserve">한 달 동안 수고 많으셨습니다 ^^ </t>
  </si>
  <si>
    <t xml:space="preserve">한 달 동안 수고 많으셨습니다 ^^ </t>
    <phoneticPr fontId="2" type="noConversion"/>
  </si>
  <si>
    <t xml:space="preserve">한 달 동안 수고 많으셨습니다 ^^ </t>
    <phoneticPr fontId="2" type="noConversion"/>
  </si>
  <si>
    <t xml:space="preserve">한 달 동안 수고 많으셨습니다 ^^ </t>
    <phoneticPr fontId="2" type="noConversion"/>
  </si>
  <si>
    <t xml:space="preserve">한 달 동안 수고 많으셨습니다 ^^ </t>
    <phoneticPr fontId="2" type="noConversion"/>
  </si>
  <si>
    <t xml:space="preserve">한 달 동안 수고 많으셨습니다 ^^ </t>
    <phoneticPr fontId="2" type="noConversion"/>
  </si>
  <si>
    <t>교대주휴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</si>
  <si>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</si>
  <si>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</si>
  <si>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</si>
  <si>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</si>
  <si>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</si>
  <si>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</si>
  <si>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</si>
  <si>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</si>
  <si>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</si>
  <si>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</si>
  <si>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</si>
  <si>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</si>
  <si>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</si>
  <si>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</si>
  <si>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</si>
  <si>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소급</t>
    <phoneticPr fontId="2" type="noConversion"/>
  </si>
  <si>
    <t>어브코스 급여명세서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</si>
  <si>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</si>
  <si>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</si>
  <si>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</si>
  <si>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</si>
  <si>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</si>
  <si>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</si>
  <si>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</si>
  <si>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</si>
  <si>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선지급</t>
    <phoneticPr fontId="5" type="noConversion"/>
  </si>
  <si>
    <t>선지급</t>
    <phoneticPr fontId="5" type="noConversion"/>
  </si>
  <si>
    <t>선지급</t>
    <phoneticPr fontId="5" type="noConversion"/>
  </si>
  <si>
    <t>선지급</t>
    <phoneticPr fontId="5" type="noConversion"/>
  </si>
  <si>
    <t>이윤영</t>
    <phoneticPr fontId="2" type="noConversion"/>
  </si>
  <si>
    <t>김현순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</si>
  <si>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</si>
  <si>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</si>
  <si>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</si>
  <si>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</si>
  <si>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</si>
  <si>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</si>
  <si>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</si>
  <si>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</si>
  <si>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</si>
  <si>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</si>
  <si>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</si>
  <si>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</si>
  <si>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</si>
  <si>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</si>
  <si>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김향숙</t>
    <phoneticPr fontId="2" type="noConversion"/>
  </si>
  <si>
    <t>이영수</t>
    <phoneticPr fontId="2" type="noConversion"/>
  </si>
  <si>
    <t>이미영</t>
    <phoneticPr fontId="2" type="noConversion"/>
  </si>
  <si>
    <t>김봉화</t>
    <phoneticPr fontId="2" type="noConversion"/>
  </si>
  <si>
    <t>이윤진</t>
    <phoneticPr fontId="2" type="noConversion"/>
  </si>
  <si>
    <t>김성실</t>
    <phoneticPr fontId="2" type="noConversion"/>
  </si>
  <si>
    <t>박승미</t>
    <phoneticPr fontId="2" type="noConversion"/>
  </si>
  <si>
    <t>김수희</t>
    <phoneticPr fontId="2" type="noConversion"/>
  </si>
  <si>
    <t>설홍매</t>
    <phoneticPr fontId="2" type="noConversion"/>
  </si>
  <si>
    <t>김구연</t>
    <phoneticPr fontId="2" type="noConversion"/>
  </si>
  <si>
    <t>장희숙</t>
    <phoneticPr fontId="2" type="noConversion"/>
  </si>
  <si>
    <t>김수정</t>
    <phoneticPr fontId="2" type="noConversion"/>
  </si>
  <si>
    <t>최삼순</t>
    <phoneticPr fontId="2" type="noConversion"/>
  </si>
  <si>
    <t>프라타레네린</t>
    <phoneticPr fontId="2" type="noConversion"/>
  </si>
  <si>
    <t>육은심</t>
    <phoneticPr fontId="2" type="noConversion"/>
  </si>
  <si>
    <t>김수현</t>
    <phoneticPr fontId="2" type="noConversion"/>
  </si>
  <si>
    <t>풍춘향</t>
    <phoneticPr fontId="2" type="noConversion"/>
  </si>
  <si>
    <t>지미경</t>
    <phoneticPr fontId="2" type="noConversion"/>
  </si>
  <si>
    <t>쩐티남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</si>
  <si>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</si>
  <si>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</si>
  <si>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</si>
  <si>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</si>
  <si>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</si>
  <si>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</si>
  <si>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</si>
  <si>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</si>
  <si>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</si>
  <si>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</si>
  <si>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</si>
  <si>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기본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</si>
  <si>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</si>
  <si>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</si>
  <si>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</si>
  <si>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</si>
  <si>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연장</t>
    <phoneticPr fontId="2" type="noConversion"/>
  </si>
  <si>
    <t>근태</t>
    <phoneticPr fontId="2" type="noConversion"/>
  </si>
  <si>
    <t>연장</t>
    <phoneticPr fontId="2" type="noConversion"/>
  </si>
  <si>
    <t>기본</t>
    <phoneticPr fontId="2" type="noConversion"/>
  </si>
  <si>
    <t>특잔</t>
    <phoneticPr fontId="59" type="noConversion"/>
  </si>
  <si>
    <t>심야</t>
    <phoneticPr fontId="2" type="noConversion"/>
  </si>
  <si>
    <t>기본</t>
    <phoneticPr fontId="2" type="noConversion"/>
  </si>
  <si>
    <t>연장</t>
    <phoneticPr fontId="2" type="noConversion"/>
  </si>
  <si>
    <t>심야</t>
    <phoneticPr fontId="2" type="noConversion"/>
  </si>
  <si>
    <t>기본</t>
    <phoneticPr fontId="2" type="noConversion"/>
  </si>
  <si>
    <t>주특</t>
    <phoneticPr fontId="2" type="noConversion"/>
  </si>
  <si>
    <t>특잔</t>
    <phoneticPr fontId="59" type="noConversion"/>
  </si>
  <si>
    <t>근태</t>
    <phoneticPr fontId="2" type="noConversion"/>
  </si>
  <si>
    <t>기본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</si>
  <si>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</si>
  <si>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</si>
  <si>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</si>
  <si>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</si>
  <si>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</si>
  <si>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</si>
  <si>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</si>
  <si>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연장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</si>
  <si>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</si>
  <si>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</si>
  <si>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</si>
  <si>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연장</t>
    <phoneticPr fontId="2" type="noConversion"/>
  </si>
  <si>
    <t>주특</t>
    <phoneticPr fontId="2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</si>
  <si>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</si>
  <si>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</si>
  <si>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</si>
  <si>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</si>
  <si>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</si>
  <si>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</si>
  <si>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</si>
  <si>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연장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</si>
  <si>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</si>
  <si>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</si>
  <si>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</si>
  <si>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</si>
  <si>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</si>
  <si>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</si>
  <si>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</si>
  <si>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주특</t>
    <phoneticPr fontId="2" type="noConversion"/>
  </si>
  <si>
    <t>특잔</t>
    <phoneticPr fontId="59" type="noConversion"/>
  </si>
  <si>
    <t>근태</t>
    <phoneticPr fontId="2" type="noConversion"/>
  </si>
  <si>
    <t>기본</t>
    <phoneticPr fontId="2" type="noConversion"/>
  </si>
  <si>
    <t>특잔</t>
    <phoneticPr fontId="59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</si>
  <si>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</si>
  <si>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</si>
  <si>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</si>
  <si>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</si>
  <si>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</si>
  <si>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</si>
  <si>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</si>
  <si>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</si>
  <si>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</si>
  <si>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</si>
  <si>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</si>
  <si>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</si>
  <si>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</si>
  <si>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</si>
  <si>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</si>
  <si>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</si>
  <si>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</si>
  <si>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특잔</t>
    <phoneticPr fontId="59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</si>
  <si>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</si>
  <si>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</si>
  <si>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</si>
  <si>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</si>
  <si>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근태</t>
    <phoneticPr fontId="2" type="noConversion"/>
  </si>
  <si>
    <t>심야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</si>
  <si>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</si>
  <si>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</si>
  <si>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</si>
  <si>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심야</t>
    <phoneticPr fontId="2" type="noConversion"/>
  </si>
  <si>
    <t>근태</t>
    <phoneticPr fontId="2" type="noConversion"/>
  </si>
  <si>
    <t>특잔</t>
    <phoneticPr fontId="59" type="noConversion"/>
  </si>
  <si>
    <t>심야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</si>
  <si>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</si>
  <si>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</si>
  <si>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</si>
  <si>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</si>
  <si>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</si>
  <si>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</si>
  <si>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주특</t>
    <phoneticPr fontId="2" type="noConversion"/>
  </si>
  <si>
    <t>심야</t>
    <phoneticPr fontId="2" type="noConversion"/>
  </si>
  <si>
    <t>기본</t>
    <phoneticPr fontId="2" type="noConversion"/>
  </si>
  <si>
    <t>연장</t>
    <phoneticPr fontId="2" type="noConversion"/>
  </si>
  <si>
    <t>주특</t>
    <phoneticPr fontId="2" type="noConversion"/>
  </si>
  <si>
    <t>특잔</t>
    <phoneticPr fontId="59" type="noConversion"/>
  </si>
  <si>
    <t>심야</t>
    <phoneticPr fontId="2" type="noConversion"/>
  </si>
  <si>
    <t>근태</t>
    <phoneticPr fontId="2" type="noConversion"/>
  </si>
  <si>
    <t>기본</t>
    <phoneticPr fontId="2" type="noConversion"/>
  </si>
  <si>
    <t>주특</t>
    <phoneticPr fontId="2" type="noConversion"/>
  </si>
  <si>
    <t>윤선희</t>
    <phoneticPr fontId="2" type="noConversion"/>
  </si>
  <si>
    <t>급여대장</t>
    <phoneticPr fontId="2" type="noConversion"/>
  </si>
  <si>
    <t>확인</t>
    <phoneticPr fontId="2" type="noConversion"/>
  </si>
  <si>
    <t>정오례</t>
    <phoneticPr fontId="2" type="noConversion"/>
  </si>
  <si>
    <t>비고</t>
    <phoneticPr fontId="2" type="noConversion"/>
  </si>
  <si>
    <t>한계숙</t>
    <phoneticPr fontId="2" type="noConversion"/>
  </si>
  <si>
    <t>또아</t>
    <phoneticPr fontId="2" type="noConversion"/>
  </si>
  <si>
    <t>문영</t>
    <phoneticPr fontId="2" type="noConversion"/>
  </si>
  <si>
    <t>박정희</t>
    <phoneticPr fontId="2" type="noConversion"/>
  </si>
  <si>
    <t>임정숙</t>
    <phoneticPr fontId="2" type="noConversion"/>
  </si>
  <si>
    <t>후인민뉴</t>
    <phoneticPr fontId="2" type="noConversion"/>
  </si>
  <si>
    <t>한부덕</t>
    <phoneticPr fontId="2" type="noConversion"/>
  </si>
  <si>
    <t>송순옥</t>
    <phoneticPr fontId="2" type="noConversion"/>
  </si>
  <si>
    <t>응우옌티
휴옌짱</t>
    <phoneticPr fontId="2" type="noConversion"/>
  </si>
  <si>
    <t>김보아</t>
    <phoneticPr fontId="2" type="noConversion"/>
  </si>
  <si>
    <t>포브스레이멘</t>
    <phoneticPr fontId="2" type="noConversion"/>
  </si>
  <si>
    <t>유지원</t>
    <phoneticPr fontId="2" type="noConversion"/>
  </si>
  <si>
    <t>선지급</t>
    <phoneticPr fontId="2" type="noConversion"/>
  </si>
  <si>
    <t>반차</t>
  </si>
  <si>
    <t>연차</t>
  </si>
  <si>
    <t>조퇴</t>
  </si>
  <si>
    <t>결근</t>
  </si>
  <si>
    <t>퇴사</t>
  </si>
  <si>
    <t>1월 귀속 어브코스 주급(2/4지급)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</si>
  <si>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</si>
  <si>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</si>
  <si>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</si>
  <si>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</si>
  <si>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</si>
  <si>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</si>
  <si>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</si>
  <si>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</si>
  <si>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</si>
  <si>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</si>
  <si>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</si>
  <si>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</si>
  <si>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</si>
  <si>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</si>
  <si>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</si>
  <si>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고용보험</t>
    <phoneticPr fontId="5" type="noConversion"/>
  </si>
  <si>
    <t>박서원</t>
    <phoneticPr fontId="2" type="noConversion"/>
  </si>
  <si>
    <t>수당</t>
    <phoneticPr fontId="2" type="noConversion"/>
  </si>
  <si>
    <t>특잔</t>
    <phoneticPr fontId="59" type="noConversion"/>
  </si>
  <si>
    <t>특잔</t>
    <phoneticPr fontId="59" type="noConversion"/>
  </si>
  <si>
    <t>일</t>
    <phoneticPr fontId="63" type="noConversion"/>
  </si>
  <si>
    <t>월</t>
    <phoneticPr fontId="2" type="noConversion"/>
  </si>
  <si>
    <t>김연순</t>
    <phoneticPr fontId="2" type="noConversion"/>
  </si>
  <si>
    <t>율리야</t>
    <phoneticPr fontId="2" type="noConversion"/>
  </si>
  <si>
    <t>김미선</t>
    <phoneticPr fontId="2" type="noConversion"/>
  </si>
  <si>
    <t>진수연</t>
    <phoneticPr fontId="2" type="noConversion"/>
  </si>
  <si>
    <t>이방미</t>
    <phoneticPr fontId="2" type="noConversion"/>
  </si>
  <si>
    <t>이혜영</t>
    <phoneticPr fontId="2" type="noConversion"/>
  </si>
  <si>
    <t>김선미</t>
    <phoneticPr fontId="2" type="noConversion"/>
  </si>
  <si>
    <t>오수빈</t>
    <phoneticPr fontId="2" type="noConversion"/>
  </si>
  <si>
    <t>위파위</t>
    <phoneticPr fontId="2" type="noConversion"/>
  </si>
  <si>
    <t>서미란</t>
    <phoneticPr fontId="2" type="noConversion"/>
  </si>
  <si>
    <t>이학래</t>
    <phoneticPr fontId="2" type="noConversion"/>
  </si>
  <si>
    <t>마리나</t>
    <phoneticPr fontId="2" type="noConversion"/>
  </si>
  <si>
    <t>김명희</t>
    <phoneticPr fontId="2" type="noConversion"/>
  </si>
  <si>
    <t>이현정</t>
    <phoneticPr fontId="2" type="noConversion"/>
  </si>
  <si>
    <t>이효진</t>
    <phoneticPr fontId="2" type="noConversion"/>
  </si>
  <si>
    <t>문지현</t>
    <phoneticPr fontId="2" type="noConversion"/>
  </si>
  <si>
    <t>문지수</t>
    <phoneticPr fontId="2" type="noConversion"/>
  </si>
  <si>
    <t>원차연</t>
    <phoneticPr fontId="2" type="noConversion"/>
  </si>
  <si>
    <t>리티민홍</t>
    <phoneticPr fontId="2" type="noConversion"/>
  </si>
  <si>
    <t>이주성</t>
    <phoneticPr fontId="2" type="noConversion"/>
  </si>
  <si>
    <t>최보경</t>
    <phoneticPr fontId="2" type="noConversion"/>
  </si>
  <si>
    <t>김유진</t>
    <phoneticPr fontId="2" type="noConversion"/>
  </si>
  <si>
    <t>이정화</t>
    <phoneticPr fontId="2" type="noConversion"/>
  </si>
  <si>
    <t>최금화</t>
    <phoneticPr fontId="2" type="noConversion"/>
  </si>
  <si>
    <t>응웬티회</t>
    <phoneticPr fontId="2" type="noConversion"/>
  </si>
  <si>
    <t>한서현</t>
    <phoneticPr fontId="2" type="noConversion"/>
  </si>
  <si>
    <t>노미순</t>
    <phoneticPr fontId="2" type="noConversion"/>
  </si>
  <si>
    <t>레티탐</t>
    <phoneticPr fontId="2" type="noConversion"/>
  </si>
  <si>
    <t>최춘자</t>
    <phoneticPr fontId="2" type="noConversion"/>
  </si>
  <si>
    <t>강명옥</t>
    <phoneticPr fontId="2" type="noConversion"/>
  </si>
  <si>
    <t>이수진</t>
    <phoneticPr fontId="2" type="noConversion"/>
  </si>
  <si>
    <t>박혜선</t>
    <phoneticPr fontId="2" type="noConversion"/>
  </si>
  <si>
    <t>박소연</t>
    <phoneticPr fontId="2" type="noConversion"/>
  </si>
  <si>
    <t>설날</t>
  </si>
  <si>
    <t>지각</t>
  </si>
  <si>
    <t>소득세</t>
    <phoneticPr fontId="5" type="noConversion"/>
  </si>
  <si>
    <t>지방소득세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</si>
</sst>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,##0.0_ "/>
    <numFmt numFmtId="177" formatCode="#,##0_ "/>
    <numFmt numFmtId="178" formatCode="&quot;₩&quot;#,##0.00;&quot;₩&quot;&quot;₩&quot;\!\-#,##0.00"/>
    <numFmt numFmtId="179" formatCode="yyyy&quot;년&quot;&quot;₩&quot;\!\ m&quot;월&quot;&quot;₩&quot;\!\ d&quot;일&quot;"/>
    <numFmt numFmtId="180" formatCode="_ &quot;₩&quot;* #,##0_ ;_ &quot;₩&quot;* \-#,##0_ ;_ &quot;₩&quot;* &quot;-&quot;_ ;_ @_ "/>
    <numFmt numFmtId="181" formatCode="0_);\(0\)"/>
    <numFmt numFmtId="182" formatCode="_ &quot;₩&quot;* #,##0.00_ ;_ &quot;₩&quot;* \-#,##0.00_ ;_ &quot;₩&quot;* &quot;-&quot;??_ ;_ @_ "/>
    <numFmt numFmtId="183" formatCode="0.E+00"/>
    <numFmt numFmtId="184" formatCode="_ * #,##0_ ;_ * \-#,##0_ ;_ * &quot;-&quot;_ ;_ @_ "/>
    <numFmt numFmtId="185" formatCode="_ * #,##0.00_ ;_ * \-#,##0.00_ ;_ * &quot;-&quot;??_ ;_ @_ "/>
    <numFmt numFmtId="186" formatCode="mm&quot;₩&quot;\/dd&quot;₩&quot;\/yy"/>
    <numFmt numFmtId="187" formatCode="yy&quot;년&quot;&quot;₩&quot;&quot;₩&quot;\ mm&quot;월&quot;&quot;₩&quot;&quot;₩&quot;\ dd&quot;일&quot;"/>
    <numFmt numFmtId="188" formatCode="#,##0;&quot;-&quot;#,##0"/>
    <numFmt numFmtId="189" formatCode="_-* #,##0_-;\!\-* #,##0_-;_-* &quot;-&quot;_-;_-@_-"/>
    <numFmt numFmtId="190" formatCode="_-* #,##0.00_-;\!\-* #,##0.00_-;_-* &quot;-&quot;??_-;_-@_-"/>
    <numFmt numFmtId="191" formatCode="_-* #,##0.0_-;\-* #,##0.0_-;_-* &quot;-&quot;?_-;_-@_-"/>
    <numFmt numFmtId="192" formatCode="0.0_);[Red]\(0.0\)"/>
    <numFmt numFmtId="193" formatCode="0_ "/>
  </numFmts>
  <fonts count="68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체"/>
      <family val="3"/>
      <charset val="129"/>
    </font>
    <font>
      <sz val="9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2"/>
      <name val="Times New Roman"/>
      <family val="1"/>
    </font>
    <font>
      <sz val="12"/>
      <name val="±¼¸²Ã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name val="Helv"/>
      <family val="2"/>
    </font>
    <font>
      <b/>
      <sz val="18"/>
      <color indexed="62"/>
      <name val="맑은 고딕"/>
      <family val="3"/>
      <charset val="129"/>
    </font>
    <font>
      <sz val="14"/>
      <name val="뼻뮝"/>
      <family val="3"/>
      <charset val="129"/>
    </font>
    <font>
      <sz val="11"/>
      <name val="바탕"/>
      <family val="1"/>
      <charset val="129"/>
    </font>
    <font>
      <sz val="10"/>
      <name val="궁서(English)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2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0000FF"/>
      <name val="굴림"/>
      <family val="3"/>
      <charset val="129"/>
    </font>
    <font>
      <sz val="8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rgb="FF0000FF"/>
      <name val="굴림"/>
      <family val="3"/>
      <charset val="129"/>
    </font>
    <font>
      <sz val="11"/>
      <color rgb="FFFF0000"/>
      <name val="굴림"/>
      <family val="3"/>
      <charset val="129"/>
    </font>
    <font>
      <sz val="8"/>
      <name val="맑은 고딕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1"/>
      <color theme="1"/>
      <name val="굴림"/>
      <family val="3"/>
      <charset val="129"/>
    </font>
    <font>
      <sz val="9"/>
      <name val="굴림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97">
    <xf numFmtId="0" fontId="0" fillId="0" borderId="0">
      <alignment vertical="center"/>
    </xf>
    <xf numFmtId="0" fontId="10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17" applyNumberFormat="0" applyAlignment="0" applyProtection="0">
      <alignment vertical="center"/>
    </xf>
    <xf numFmtId="0" fontId="14" fillId="21" borderId="17" applyNumberFormat="0" applyAlignment="0" applyProtection="0">
      <alignment vertical="center"/>
    </xf>
    <xf numFmtId="0" fontId="14" fillId="21" borderId="17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1" fillId="22" borderId="18" applyNumberFormat="0" applyFont="0" applyAlignment="0" applyProtection="0">
      <alignment vertical="center"/>
    </xf>
    <xf numFmtId="0" fontId="11" fillId="22" borderId="18" applyNumberFormat="0" applyFont="0" applyAlignment="0" applyProtection="0">
      <alignment vertical="center"/>
    </xf>
    <xf numFmtId="0" fontId="11" fillId="22" borderId="18" applyNumberFormat="0" applyFont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19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21" borderId="25" applyNumberFormat="0" applyAlignment="0" applyProtection="0">
      <alignment vertical="center"/>
    </xf>
    <xf numFmtId="0" fontId="32" fillId="21" borderId="25" applyNumberFormat="0" applyAlignment="0" applyProtection="0">
      <alignment vertical="center"/>
    </xf>
    <xf numFmtId="0" fontId="32" fillId="21" borderId="25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  <xf numFmtId="0" fontId="23" fillId="0" borderId="0"/>
    <xf numFmtId="0" fontId="10" fillId="0" borderId="0">
      <alignment vertical="center"/>
    </xf>
    <xf numFmtId="0" fontId="21" fillId="0" borderId="0">
      <alignment vertical="center"/>
    </xf>
    <xf numFmtId="0" fontId="23" fillId="0" borderId="0"/>
    <xf numFmtId="0" fontId="23" fillId="0" borderId="0"/>
    <xf numFmtId="0" fontId="10" fillId="0" borderId="0">
      <alignment vertical="center"/>
    </xf>
    <xf numFmtId="0" fontId="20" fillId="0" borderId="0"/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24" fontId="34" fillId="0" borderId="0" applyFont="0" applyFill="0" applyBorder="0" applyAlignment="0" applyProtection="0"/>
    <xf numFmtId="178" fontId="23" fillId="0" borderId="0" applyNumberFormat="0" applyFont="0" applyFill="0" applyBorder="0" applyAlignment="0" applyProtection="0"/>
    <xf numFmtId="178" fontId="23" fillId="0" borderId="0" applyNumberFormat="0" applyFont="0" applyFill="0" applyBorder="0" applyAlignment="0" applyProtection="0"/>
    <xf numFmtId="179" fontId="23" fillId="0" borderId="0" applyNumberFormat="0" applyFon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37" fillId="0" borderId="0"/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80" fontId="38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8" fillId="0" borderId="0" applyFont="0" applyFill="0" applyBorder="0" applyAlignment="0" applyProtection="0"/>
    <xf numFmtId="183" fontId="35" fillId="0" borderId="0" applyFont="0" applyFill="0" applyBorder="0" applyAlignment="0" applyProtection="0"/>
    <xf numFmtId="0" fontId="34" fillId="0" borderId="0"/>
    <xf numFmtId="184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38" fillId="0" borderId="0"/>
    <xf numFmtId="0" fontId="36" fillId="0" borderId="0"/>
    <xf numFmtId="0" fontId="14" fillId="25" borderId="17" applyNumberFormat="0" applyAlignment="0" applyProtection="0">
      <alignment vertical="center"/>
    </xf>
    <xf numFmtId="0" fontId="39" fillId="0" borderId="0"/>
    <xf numFmtId="0" fontId="19" fillId="24" borderId="19" applyNumberFormat="0" applyAlignment="0" applyProtection="0">
      <alignment vertical="center"/>
    </xf>
    <xf numFmtId="184" fontId="36" fillId="0" borderId="0" applyFont="0" applyFill="0" applyBorder="0" applyAlignment="0" applyProtection="0"/>
    <xf numFmtId="185" fontId="36" fillId="0" borderId="0" applyFont="0" applyFill="0" applyBorder="0" applyAlignment="0" applyProtection="0"/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38" fontId="40" fillId="27" borderId="0" applyNumberFormat="0" applyBorder="0" applyAlignment="0" applyProtection="0"/>
    <xf numFmtId="0" fontId="41" fillId="0" borderId="0">
      <alignment horizontal="left"/>
    </xf>
    <xf numFmtId="0" fontId="42" fillId="0" borderId="27" applyNumberFormat="0" applyAlignment="0" applyProtection="0">
      <alignment horizontal="left" vertical="center"/>
    </xf>
    <xf numFmtId="0" fontId="42" fillId="0" borderId="9">
      <alignment horizontal="left" vertical="center"/>
    </xf>
    <xf numFmtId="0" fontId="43" fillId="0" borderId="28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6" fillId="8" borderId="17" applyNumberFormat="0" applyAlignment="0" applyProtection="0">
      <alignment vertical="center"/>
    </xf>
    <xf numFmtId="10" fontId="40" fillId="28" borderId="6" applyNumberFormat="0" applyBorder="0" applyAlignment="0" applyProtection="0"/>
    <xf numFmtId="0" fontId="24" fillId="0" borderId="20" applyNumberFormat="0" applyFill="0" applyAlignment="0" applyProtection="0">
      <alignment vertical="center"/>
    </xf>
    <xf numFmtId="0" fontId="46" fillId="0" borderId="1"/>
    <xf numFmtId="0" fontId="17" fillId="23" borderId="0" applyNumberFormat="0" applyBorder="0" applyAlignment="0" applyProtection="0">
      <alignment vertical="center"/>
    </xf>
    <xf numFmtId="0" fontId="23" fillId="0" borderId="0"/>
    <xf numFmtId="0" fontId="36" fillId="0" borderId="0"/>
    <xf numFmtId="0" fontId="23" fillId="22" borderId="18" applyNumberFormat="0" applyFont="0" applyAlignment="0" applyProtection="0">
      <alignment vertical="center"/>
    </xf>
    <xf numFmtId="0" fontId="32" fillId="25" borderId="25" applyNumberFormat="0" applyAlignment="0" applyProtection="0">
      <alignment vertical="center"/>
    </xf>
    <xf numFmtId="10" fontId="36" fillId="0" borderId="0" applyFont="0" applyFill="0" applyBorder="0" applyAlignment="0" applyProtection="0"/>
    <xf numFmtId="0" fontId="46" fillId="0" borderId="0"/>
    <xf numFmtId="0" fontId="47" fillId="0" borderId="0" applyNumberFormat="0" applyFill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5" fillId="0" borderId="0"/>
    <xf numFmtId="41" fontId="49" fillId="0" borderId="0" applyFont="0" applyFill="0" applyBorder="0" applyAlignment="0" applyProtection="0">
      <alignment vertical="center"/>
    </xf>
    <xf numFmtId="0" fontId="36" fillId="0" borderId="0"/>
    <xf numFmtId="188" fontId="50" fillId="0" borderId="0" applyFont="0" applyFill="0" applyBorder="0" applyAlignment="0" applyProtection="0"/>
    <xf numFmtId="189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42" fontId="23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23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41" fontId="4" fillId="0" borderId="6" xfId="90" applyFont="1" applyFill="1" applyBorder="1" applyAlignment="1">
      <alignment horizontal="right" vertical="center"/>
    </xf>
    <xf numFmtId="41" fontId="4" fillId="0" borderId="6" xfId="90" applyFont="1" applyFill="1" applyBorder="1">
      <alignment vertical="center"/>
    </xf>
    <xf numFmtId="41" fontId="4" fillId="0" borderId="0" xfId="90" applyFont="1" applyFill="1" applyAlignment="1">
      <alignment horizontal="right" vertical="center"/>
    </xf>
    <xf numFmtId="41" fontId="4" fillId="0" borderId="0" xfId="90" applyFont="1" applyFill="1">
      <alignment vertical="center"/>
    </xf>
    <xf numFmtId="41" fontId="4" fillId="0" borderId="0" xfId="90" applyFont="1" applyAlignment="1">
      <alignment horizontal="center" vertical="center"/>
    </xf>
    <xf numFmtId="41" fontId="4" fillId="0" borderId="0" xfId="9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56" fillId="0" borderId="6" xfId="75" applyFont="1" applyBorder="1" applyAlignment="1">
      <alignment horizontal="center" vertical="center"/>
    </xf>
    <xf numFmtId="191" fontId="54" fillId="0" borderId="57" xfId="0" applyNumberFormat="1" applyFont="1" applyBorder="1" applyAlignment="1">
      <alignment horizontal="center" vertical="center"/>
    </xf>
    <xf numFmtId="0" fontId="53" fillId="29" borderId="58" xfId="0" applyFont="1" applyFill="1" applyBorder="1" applyAlignment="1">
      <alignment horizontal="center" vertical="center"/>
    </xf>
    <xf numFmtId="191" fontId="54" fillId="0" borderId="59" xfId="0" applyNumberFormat="1" applyFont="1" applyBorder="1" applyAlignment="1">
      <alignment horizontal="center" vertical="center"/>
    </xf>
    <xf numFmtId="176" fontId="4" fillId="0" borderId="11" xfId="0" applyNumberFormat="1" applyFont="1" applyBorder="1">
      <alignment vertical="center"/>
    </xf>
    <xf numFmtId="176" fontId="4" fillId="0" borderId="9" xfId="0" applyNumberFormat="1" applyFont="1" applyBorder="1">
      <alignment vertical="center"/>
    </xf>
    <xf numFmtId="176" fontId="4" fillId="0" borderId="10" xfId="0" applyNumberFormat="1" applyFont="1" applyBorder="1">
      <alignment vertical="center"/>
    </xf>
    <xf numFmtId="0" fontId="10" fillId="0" borderId="0" xfId="1" applyAlignment="1">
      <alignment horizontal="center" vertical="center"/>
    </xf>
    <xf numFmtId="0" fontId="53" fillId="0" borderId="67" xfId="0" applyFont="1" applyBorder="1" applyAlignment="1">
      <alignment horizontal="center" vertical="center"/>
    </xf>
    <xf numFmtId="0" fontId="53" fillId="32" borderId="6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6" xfId="90" applyFont="1" applyFill="1" applyBorder="1" applyAlignment="1">
      <alignment horizontal="center" vertical="center"/>
    </xf>
    <xf numFmtId="41" fontId="4" fillId="0" borderId="6" xfId="9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1" fontId="57" fillId="0" borderId="6" xfId="90" applyFont="1" applyFill="1" applyBorder="1" applyAlignment="1">
      <alignment horizontal="center" vertical="center"/>
    </xf>
    <xf numFmtId="41" fontId="55" fillId="0" borderId="6" xfId="9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41" fontId="0" fillId="0" borderId="0" xfId="90" applyFont="1" applyFill="1" applyAlignment="1">
      <alignment horizontal="right" vertical="center"/>
    </xf>
    <xf numFmtId="0" fontId="61" fillId="30" borderId="31" xfId="0" applyFont="1" applyFill="1" applyBorder="1" applyAlignment="1">
      <alignment horizontal="center" vertical="center"/>
    </xf>
    <xf numFmtId="0" fontId="62" fillId="31" borderId="31" xfId="0" applyFont="1" applyFill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61" fillId="30" borderId="33" xfId="0" applyFont="1" applyFill="1" applyBorder="1" applyAlignment="1">
      <alignment horizontal="center" vertical="center"/>
    </xf>
    <xf numFmtId="0" fontId="62" fillId="31" borderId="3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0" fontId="56" fillId="33" borderId="6" xfId="75" applyFont="1" applyFill="1" applyBorder="1" applyAlignment="1">
      <alignment horizontal="center" vertical="center"/>
    </xf>
    <xf numFmtId="41" fontId="57" fillId="33" borderId="6" xfId="90" applyFont="1" applyFill="1" applyBorder="1" applyAlignment="1">
      <alignment horizontal="center" vertical="center"/>
    </xf>
    <xf numFmtId="41" fontId="55" fillId="33" borderId="6" xfId="9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191" fontId="65" fillId="34" borderId="76" xfId="0" applyNumberFormat="1" applyFont="1" applyFill="1" applyBorder="1" applyAlignment="1">
      <alignment horizontal="center" vertical="center" shrinkToFit="1"/>
    </xf>
    <xf numFmtId="191" fontId="65" fillId="34" borderId="70" xfId="0" applyNumberFormat="1" applyFont="1" applyFill="1" applyBorder="1" applyAlignment="1">
      <alignment horizontal="center" vertical="center" shrinkToFit="1"/>
    </xf>
    <xf numFmtId="192" fontId="65" fillId="34" borderId="70" xfId="0" applyNumberFormat="1" applyFont="1" applyFill="1" applyBorder="1" applyAlignment="1">
      <alignment horizontal="center" vertical="center" shrinkToFit="1"/>
    </xf>
    <xf numFmtId="192" fontId="65" fillId="34" borderId="71" xfId="0" applyNumberFormat="1" applyFont="1" applyFill="1" applyBorder="1" applyAlignment="1">
      <alignment horizontal="center" vertical="center" shrinkToFit="1"/>
    </xf>
    <xf numFmtId="191" fontId="64" fillId="34" borderId="72" xfId="0" applyNumberFormat="1" applyFont="1" applyFill="1" applyBorder="1" applyAlignment="1">
      <alignment horizontal="center" vertical="center" shrinkToFit="1"/>
    </xf>
    <xf numFmtId="191" fontId="65" fillId="34" borderId="77" xfId="0" applyNumberFormat="1" applyFont="1" applyFill="1" applyBorder="1" applyAlignment="1">
      <alignment horizontal="center" vertical="center" shrinkToFit="1"/>
    </xf>
    <xf numFmtId="191" fontId="65" fillId="34" borderId="73" xfId="0" applyNumberFormat="1" applyFont="1" applyFill="1" applyBorder="1" applyAlignment="1">
      <alignment horizontal="center" vertical="center" shrinkToFit="1"/>
    </xf>
    <xf numFmtId="191" fontId="65" fillId="34" borderId="74" xfId="0" applyNumberFormat="1" applyFont="1" applyFill="1" applyBorder="1" applyAlignment="1">
      <alignment horizontal="center" vertical="center" shrinkToFit="1"/>
    </xf>
    <xf numFmtId="191" fontId="64" fillId="34" borderId="75" xfId="0" applyNumberFormat="1" applyFont="1" applyFill="1" applyBorder="1" applyAlignment="1">
      <alignment horizontal="center" vertical="center" shrinkToFit="1"/>
    </xf>
    <xf numFmtId="0" fontId="58" fillId="30" borderId="61" xfId="0" applyFont="1" applyFill="1" applyBorder="1" applyAlignment="1">
      <alignment horizontal="center" vertical="center"/>
    </xf>
    <xf numFmtId="0" fontId="58" fillId="30" borderId="32" xfId="0" applyFont="1" applyFill="1" applyBorder="1" applyAlignment="1">
      <alignment horizontal="center" vertical="center"/>
    </xf>
    <xf numFmtId="0" fontId="58" fillId="30" borderId="33" xfId="0" applyFont="1" applyFill="1" applyBorder="1" applyAlignment="1">
      <alignment horizontal="center" vertical="center"/>
    </xf>
    <xf numFmtId="0" fontId="58" fillId="30" borderId="65" xfId="0" applyFont="1" applyFill="1" applyBorder="1" applyAlignment="1">
      <alignment horizontal="center" vertical="center"/>
    </xf>
    <xf numFmtId="0" fontId="58" fillId="30" borderId="67" xfId="0" applyFont="1" applyFill="1" applyBorder="1" applyAlignment="1">
      <alignment horizontal="center" vertical="center"/>
    </xf>
    <xf numFmtId="0" fontId="58" fillId="30" borderId="64" xfId="0" applyFont="1" applyFill="1" applyBorder="1" applyAlignment="1">
      <alignment horizontal="center" vertical="center"/>
    </xf>
    <xf numFmtId="193" fontId="62" fillId="31" borderId="36" xfId="0" applyNumberFormat="1" applyFont="1" applyFill="1" applyBorder="1" applyAlignment="1">
      <alignment horizontal="center" vertical="center"/>
    </xf>
    <xf numFmtId="0" fontId="62" fillId="31" borderId="63" xfId="0" applyFont="1" applyFill="1" applyBorder="1" applyAlignment="1">
      <alignment horizontal="center" vertical="center"/>
    </xf>
    <xf numFmtId="0" fontId="52" fillId="31" borderId="60" xfId="0" applyFont="1" applyFill="1" applyBorder="1" applyAlignment="1">
      <alignment horizontal="center" vertical="center"/>
    </xf>
    <xf numFmtId="0" fontId="52" fillId="31" borderId="66" xfId="0" applyFont="1" applyFill="1" applyBorder="1" applyAlignment="1">
      <alignment horizontal="center" vertical="center"/>
    </xf>
    <xf numFmtId="0" fontId="52" fillId="31" borderId="63" xfId="0" applyFont="1" applyFill="1" applyBorder="1" applyAlignment="1">
      <alignment horizontal="center" vertical="center"/>
    </xf>
    <xf numFmtId="0" fontId="52" fillId="31" borderId="61" xfId="0" applyFont="1" applyFill="1" applyBorder="1" applyAlignment="1">
      <alignment horizontal="center" vertical="center"/>
    </xf>
    <xf numFmtId="0" fontId="52" fillId="31" borderId="32" xfId="0" applyFont="1" applyFill="1" applyBorder="1" applyAlignment="1">
      <alignment horizontal="center" vertical="center"/>
    </xf>
    <xf numFmtId="0" fontId="52" fillId="31" borderId="33" xfId="0" applyFont="1" applyFill="1" applyBorder="1" applyAlignment="1">
      <alignment horizontal="center" vertical="center"/>
    </xf>
    <xf numFmtId="0" fontId="60" fillId="0" borderId="0" xfId="0" applyFont="1">
      <alignment vertical="center"/>
    </xf>
    <xf numFmtId="0" fontId="15" fillId="0" borderId="0" xfId="0" applyFont="1">
      <alignment vertical="center"/>
    </xf>
    <xf numFmtId="0" fontId="66" fillId="35" borderId="70" xfId="0" applyFont="1" applyFill="1" applyBorder="1" applyAlignment="1">
      <alignment horizontal="center" vertical="center"/>
    </xf>
    <xf numFmtId="41" fontId="56" fillId="0" borderId="6" xfId="90" applyFont="1" applyFill="1" applyBorder="1" applyAlignment="1">
      <alignment horizontal="center" vertical="center"/>
    </xf>
    <xf numFmtId="41" fontId="56" fillId="33" borderId="6" xfId="90" applyFont="1" applyFill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5" fillId="34" borderId="68" xfId="0" applyFont="1" applyFill="1" applyBorder="1" applyAlignment="1">
      <alignment horizontal="center" vertical="center" shrinkToFit="1"/>
    </xf>
    <xf numFmtId="0" fontId="65" fillId="34" borderId="69" xfId="0" applyFont="1" applyFill="1" applyBorder="1" applyAlignment="1">
      <alignment horizontal="center" vertical="center" shrinkToFit="1"/>
    </xf>
    <xf numFmtId="0" fontId="53" fillId="0" borderId="56" xfId="0" applyFont="1" applyBorder="1" applyAlignment="1">
      <alignment horizontal="center" vertical="center"/>
    </xf>
    <xf numFmtId="0" fontId="53" fillId="0" borderId="58" xfId="0" applyFont="1" applyBorder="1" applyAlignment="1">
      <alignment horizontal="center" vertical="center"/>
    </xf>
    <xf numFmtId="0" fontId="10" fillId="0" borderId="0" xfId="1" applyAlignment="1">
      <alignment horizontal="center" vertical="center"/>
    </xf>
    <xf numFmtId="0" fontId="10" fillId="0" borderId="38" xfId="1" applyBorder="1" applyAlignment="1">
      <alignment horizontal="center" vertical="center" wrapText="1"/>
    </xf>
    <xf numFmtId="0" fontId="10" fillId="0" borderId="39" xfId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10" fillId="0" borderId="13" xfId="1" applyBorder="1" applyAlignment="1">
      <alignment horizontal="center" vertical="center" wrapText="1"/>
    </xf>
    <xf numFmtId="0" fontId="53" fillId="0" borderId="34" xfId="0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0" fontId="4" fillId="0" borderId="5" xfId="0" applyFont="1" applyBorder="1" applyAlignment="1">
      <alignment horizontal="distributed" vertical="distributed" indent="3"/>
    </xf>
    <xf numFmtId="0" fontId="4" fillId="0" borderId="6" xfId="0" applyFont="1" applyBorder="1" applyAlignment="1">
      <alignment horizontal="distributed" vertical="distributed" indent="3"/>
    </xf>
    <xf numFmtId="0" fontId="4" fillId="0" borderId="11" xfId="0" applyFont="1" applyBorder="1" applyAlignment="1">
      <alignment horizontal="distributed" vertical="distributed" indent="3"/>
    </xf>
    <xf numFmtId="177" fontId="4" fillId="0" borderId="11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distributed" vertical="distributed" indent="3"/>
    </xf>
    <xf numFmtId="0" fontId="4" fillId="0" borderId="9" xfId="0" applyFont="1" applyBorder="1" applyAlignment="1">
      <alignment horizontal="distributed" vertical="distributed" indent="3"/>
    </xf>
    <xf numFmtId="0" fontId="4" fillId="0" borderId="10" xfId="0" applyFont="1" applyBorder="1" applyAlignment="1">
      <alignment horizontal="distributed" vertical="distributed" indent="3"/>
    </xf>
    <xf numFmtId="176" fontId="4" fillId="0" borderId="6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1" fontId="4" fillId="0" borderId="6" xfId="9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77" fontId="4" fillId="0" borderId="26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horizontal="center" vertical="center"/>
    </xf>
    <xf numFmtId="177" fontId="4" fillId="0" borderId="48" xfId="0" applyNumberFormat="1" applyFont="1" applyBorder="1" applyAlignment="1">
      <alignment horizontal="center" vertical="center"/>
    </xf>
    <xf numFmtId="177" fontId="4" fillId="0" borderId="47" xfId="0" applyNumberFormat="1" applyFont="1" applyBorder="1" applyAlignment="1">
      <alignment horizontal="center" vertical="center"/>
    </xf>
    <xf numFmtId="0" fontId="53" fillId="0" borderId="3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10" fillId="0" borderId="44" xfId="1" applyBorder="1" applyAlignment="1">
      <alignment horizontal="center" vertical="center"/>
    </xf>
    <xf numFmtId="0" fontId="10" fillId="0" borderId="44" xfId="1" applyBorder="1" applyAlignment="1">
      <alignment horizontal="center" vertical="center" wrapText="1"/>
    </xf>
    <xf numFmtId="0" fontId="10" fillId="0" borderId="42" xfId="1" applyBorder="1" applyAlignment="1">
      <alignment horizontal="center" vertical="center" wrapText="1"/>
    </xf>
    <xf numFmtId="0" fontId="10" fillId="0" borderId="43" xfId="1" applyBorder="1" applyAlignment="1">
      <alignment horizontal="center" vertical="center" wrapText="1"/>
    </xf>
    <xf numFmtId="0" fontId="53" fillId="0" borderId="40" xfId="0" applyFont="1" applyBorder="1" applyAlignment="1">
      <alignment horizontal="center" vertical="center"/>
    </xf>
    <xf numFmtId="0" fontId="53" fillId="0" borderId="4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31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64" fillId="0" borderId="61" xfId="0" applyFont="1" applyFill="1" applyBorder="1" applyAlignment="1">
      <alignment horizontal="center" vertical="center"/>
    </xf>
    <xf numFmtId="0" fontId="64" fillId="0" borderId="32" xfId="0" applyFont="1" applyFill="1" applyBorder="1" applyAlignment="1">
      <alignment horizontal="center" vertical="center"/>
    </xf>
    <xf numFmtId="0" fontId="64" fillId="0" borderId="33" xfId="0" applyFont="1" applyFill="1" applyBorder="1" applyAlignment="1">
      <alignment horizontal="center" vertical="center"/>
    </xf>
    <xf numFmtId="0" fontId="64" fillId="0" borderId="31" xfId="0" applyFont="1" applyFill="1" applyBorder="1" applyAlignment="1">
      <alignment horizontal="center" vertical="center"/>
    </xf>
    <xf numFmtId="0" fontId="16" fillId="0" borderId="62" xfId="0" applyFont="1" applyFill="1" applyBorder="1" applyAlignment="1">
      <alignment horizontal="center" vertical="center"/>
    </xf>
    <xf numFmtId="0" fontId="16" fillId="0" borderId="64" xfId="0" applyFont="1" applyFill="1" applyBorder="1" applyAlignment="1">
      <alignment horizontal="center" vertical="center"/>
    </xf>
    <xf numFmtId="0" fontId="64" fillId="0" borderId="65" xfId="0" applyFont="1" applyFill="1" applyBorder="1" applyAlignment="1">
      <alignment horizontal="center" vertical="center"/>
    </xf>
    <xf numFmtId="0" fontId="64" fillId="0" borderId="67" xfId="0" applyFont="1" applyFill="1" applyBorder="1" applyAlignment="1">
      <alignment horizontal="center" vertical="center"/>
    </xf>
    <xf numFmtId="0" fontId="67" fillId="0" borderId="32" xfId="0" applyFont="1" applyFill="1" applyBorder="1" applyAlignment="1">
      <alignment horizontal="center" vertical="center"/>
    </xf>
    <xf numFmtId="0" fontId="64" fillId="0" borderId="64" xfId="0" applyFont="1" applyFill="1" applyBorder="1" applyAlignment="1">
      <alignment horizontal="center" vertical="center"/>
    </xf>
  </cellXfs>
  <cellStyles count="197">
    <cellStyle name="$" xfId="93" xr:uid="{00000000-0005-0000-0000-000000000000}"/>
    <cellStyle name="$_db진흥" xfId="94" xr:uid="{00000000-0005-0000-0000-000001000000}"/>
    <cellStyle name="$_견적2" xfId="95" xr:uid="{00000000-0005-0000-0000-000002000000}"/>
    <cellStyle name="$_기아" xfId="96" xr:uid="{00000000-0005-0000-0000-000003000000}"/>
    <cellStyle name="??&amp;O?&amp;H?_x0008__x000f__x0007_?_x0007__x0001__x0001_" xfId="97" xr:uid="{00000000-0005-0000-0000-000004000000}"/>
    <cellStyle name="??&amp;O?&amp;H?_x0008_??_x0007__x0001__x0001_" xfId="98" xr:uid="{00000000-0005-0000-0000-000005000000}"/>
    <cellStyle name="_소코드1" xfId="99" xr:uid="{00000000-0005-0000-0000-000006000000}"/>
    <cellStyle name="¤@?e_TEST-1 " xfId="100" xr:uid="{00000000-0005-0000-0000-000007000000}"/>
    <cellStyle name="20% - Accent1" xfId="101" xr:uid="{00000000-0005-0000-0000-000008000000}"/>
    <cellStyle name="20% - Accent2" xfId="102" xr:uid="{00000000-0005-0000-0000-000009000000}"/>
    <cellStyle name="20% - Accent3" xfId="103" xr:uid="{00000000-0005-0000-0000-00000A000000}"/>
    <cellStyle name="20% - Accent4" xfId="104" xr:uid="{00000000-0005-0000-0000-00000B000000}"/>
    <cellStyle name="20% - Accent5" xfId="105" xr:uid="{00000000-0005-0000-0000-00000C000000}"/>
    <cellStyle name="20% - Accent6" xfId="106" xr:uid="{00000000-0005-0000-0000-00000D000000}"/>
    <cellStyle name="20% - 강조색1 2" xfId="2" xr:uid="{00000000-0005-0000-0000-00000E000000}"/>
    <cellStyle name="20% - 강조색2 2" xfId="3" xr:uid="{00000000-0005-0000-0000-00000F000000}"/>
    <cellStyle name="20% - 강조색3 2" xfId="4" xr:uid="{00000000-0005-0000-0000-000010000000}"/>
    <cellStyle name="20% - 강조색4 2" xfId="5" xr:uid="{00000000-0005-0000-0000-000011000000}"/>
    <cellStyle name="20% - 강조색5 2" xfId="6" xr:uid="{00000000-0005-0000-0000-000012000000}"/>
    <cellStyle name="20% - 강조색6 2" xfId="7" xr:uid="{00000000-0005-0000-0000-000013000000}"/>
    <cellStyle name="40% - Accent1" xfId="107" xr:uid="{00000000-0005-0000-0000-000014000000}"/>
    <cellStyle name="40% - Accent2" xfId="108" xr:uid="{00000000-0005-0000-0000-000015000000}"/>
    <cellStyle name="40% - Accent3" xfId="109" xr:uid="{00000000-0005-0000-0000-000016000000}"/>
    <cellStyle name="40% - Accent4" xfId="110" xr:uid="{00000000-0005-0000-0000-000017000000}"/>
    <cellStyle name="40% - Accent5" xfId="111" xr:uid="{00000000-0005-0000-0000-000018000000}"/>
    <cellStyle name="40% - Accent6" xfId="112" xr:uid="{00000000-0005-0000-0000-000019000000}"/>
    <cellStyle name="40% - 강조색1 2" xfId="8" xr:uid="{00000000-0005-0000-0000-00001A000000}"/>
    <cellStyle name="40% - 강조색2 2" xfId="9" xr:uid="{00000000-0005-0000-0000-00001B000000}"/>
    <cellStyle name="40% - 강조색3 2" xfId="10" xr:uid="{00000000-0005-0000-0000-00001C000000}"/>
    <cellStyle name="40% - 강조색4 2" xfId="11" xr:uid="{00000000-0005-0000-0000-00001D000000}"/>
    <cellStyle name="40% - 강조색5 2" xfId="12" xr:uid="{00000000-0005-0000-0000-00001E000000}"/>
    <cellStyle name="40% - 강조색6 2" xfId="13" xr:uid="{00000000-0005-0000-0000-00001F000000}"/>
    <cellStyle name="60% - Accent1" xfId="113" xr:uid="{00000000-0005-0000-0000-000020000000}"/>
    <cellStyle name="60% - Accent2" xfId="114" xr:uid="{00000000-0005-0000-0000-000021000000}"/>
    <cellStyle name="60% - Accent3" xfId="115" xr:uid="{00000000-0005-0000-0000-000022000000}"/>
    <cellStyle name="60% - Accent4" xfId="116" xr:uid="{00000000-0005-0000-0000-000023000000}"/>
    <cellStyle name="60% - Accent5" xfId="117" xr:uid="{00000000-0005-0000-0000-000024000000}"/>
    <cellStyle name="60% - Accent6" xfId="118" xr:uid="{00000000-0005-0000-0000-000025000000}"/>
    <cellStyle name="60% - 강조색1 2" xfId="14" xr:uid="{00000000-0005-0000-0000-000026000000}"/>
    <cellStyle name="60% - 강조색2 2" xfId="15" xr:uid="{00000000-0005-0000-0000-000027000000}"/>
    <cellStyle name="60% - 강조색3 2" xfId="16" xr:uid="{00000000-0005-0000-0000-000028000000}"/>
    <cellStyle name="60% - 강조색4 2" xfId="17" xr:uid="{00000000-0005-0000-0000-000029000000}"/>
    <cellStyle name="60% - 강조색5 2" xfId="18" xr:uid="{00000000-0005-0000-0000-00002A000000}"/>
    <cellStyle name="60% - 강조색6 2" xfId="19" xr:uid="{00000000-0005-0000-0000-00002B000000}"/>
    <cellStyle name="Accent1" xfId="119" xr:uid="{00000000-0005-0000-0000-00002C000000}"/>
    <cellStyle name="Accent2" xfId="120" xr:uid="{00000000-0005-0000-0000-00002D000000}"/>
    <cellStyle name="Accent3" xfId="121" xr:uid="{00000000-0005-0000-0000-00002E000000}"/>
    <cellStyle name="Accent4" xfId="122" xr:uid="{00000000-0005-0000-0000-00002F000000}"/>
    <cellStyle name="Accent5" xfId="123" xr:uid="{00000000-0005-0000-0000-000030000000}"/>
    <cellStyle name="Accent6" xfId="124" xr:uid="{00000000-0005-0000-0000-000031000000}"/>
    <cellStyle name="ÅëÈ­ [0]_¸ÅÃâ°ü·Ã¾ç½Ä" xfId="125" xr:uid="{00000000-0005-0000-0000-000032000000}"/>
    <cellStyle name="AeE­ [0]_PERSONAL" xfId="126" xr:uid="{00000000-0005-0000-0000-000033000000}"/>
    <cellStyle name="ÅëÈ­_¸ÅÃâ°ü·Ã¾ç½Ä" xfId="127" xr:uid="{00000000-0005-0000-0000-000034000000}"/>
    <cellStyle name="AeE­_PERSONAL" xfId="128" xr:uid="{00000000-0005-0000-0000-000035000000}"/>
    <cellStyle name="ALIGNMENT" xfId="129" xr:uid="{00000000-0005-0000-0000-000036000000}"/>
    <cellStyle name="ÄÞ¸¶ [0]_¸ÅÃâ°ü·Ã¾ç½Ä" xfId="130" xr:uid="{00000000-0005-0000-0000-000037000000}"/>
    <cellStyle name="ÄÞ¸¶_¸ÅÃâ°ü·Ã¾ç½Ä" xfId="131" xr:uid="{00000000-0005-0000-0000-000038000000}"/>
    <cellStyle name="Bad" xfId="132" xr:uid="{00000000-0005-0000-0000-000039000000}"/>
    <cellStyle name="Ç¥ÁØ_laroux" xfId="133" xr:uid="{00000000-0005-0000-0000-00003A000000}"/>
    <cellStyle name="C￥AØ_PERSONAL" xfId="134" xr:uid="{00000000-0005-0000-0000-00003B000000}"/>
    <cellStyle name="Calculation" xfId="135" xr:uid="{00000000-0005-0000-0000-00003C000000}"/>
    <cellStyle name="category" xfId="136" xr:uid="{00000000-0005-0000-0000-00003D000000}"/>
    <cellStyle name="Check Cell" xfId="137" xr:uid="{00000000-0005-0000-0000-00003E000000}"/>
    <cellStyle name="Comma [0]_ SG&amp;A Bridge " xfId="138" xr:uid="{00000000-0005-0000-0000-00003F000000}"/>
    <cellStyle name="Comma_ SG&amp;A Bridge " xfId="139" xr:uid="{00000000-0005-0000-0000-000040000000}"/>
    <cellStyle name="Currency [0]_ SG&amp;A Bridge " xfId="140" xr:uid="{00000000-0005-0000-0000-000041000000}"/>
    <cellStyle name="Currency_ SG&amp;A Bridge " xfId="141" xr:uid="{00000000-0005-0000-0000-000042000000}"/>
    <cellStyle name="Explanatory Text" xfId="142" xr:uid="{00000000-0005-0000-0000-000043000000}"/>
    <cellStyle name="Good" xfId="143" xr:uid="{00000000-0005-0000-0000-000044000000}"/>
    <cellStyle name="Grey" xfId="144" xr:uid="{00000000-0005-0000-0000-000045000000}"/>
    <cellStyle name="HEADER" xfId="145" xr:uid="{00000000-0005-0000-0000-000046000000}"/>
    <cellStyle name="Header1" xfId="146" xr:uid="{00000000-0005-0000-0000-000047000000}"/>
    <cellStyle name="Header2" xfId="147" xr:uid="{00000000-0005-0000-0000-000048000000}"/>
    <cellStyle name="Heading 1" xfId="148" xr:uid="{00000000-0005-0000-0000-000049000000}"/>
    <cellStyle name="Heading 2" xfId="149" xr:uid="{00000000-0005-0000-0000-00004A000000}"/>
    <cellStyle name="Heading 3" xfId="150" xr:uid="{00000000-0005-0000-0000-00004B000000}"/>
    <cellStyle name="Heading 4" xfId="151" xr:uid="{00000000-0005-0000-0000-00004C000000}"/>
    <cellStyle name="Input" xfId="152" xr:uid="{00000000-0005-0000-0000-00004D000000}"/>
    <cellStyle name="Input [yellow]" xfId="153" xr:uid="{00000000-0005-0000-0000-00004E000000}"/>
    <cellStyle name="Linked Cell" xfId="154" xr:uid="{00000000-0005-0000-0000-00004F000000}"/>
    <cellStyle name="Model" xfId="155" xr:uid="{00000000-0005-0000-0000-000050000000}"/>
    <cellStyle name="Neutral" xfId="156" xr:uid="{00000000-0005-0000-0000-000051000000}"/>
    <cellStyle name="Normal - Style1" xfId="157" xr:uid="{00000000-0005-0000-0000-000052000000}"/>
    <cellStyle name="Normal_ SG&amp;A Bridge " xfId="158" xr:uid="{00000000-0005-0000-0000-000053000000}"/>
    <cellStyle name="Note" xfId="159" xr:uid="{00000000-0005-0000-0000-000054000000}"/>
    <cellStyle name="Output" xfId="160" xr:uid="{00000000-0005-0000-0000-000055000000}"/>
    <cellStyle name="Percent [2]" xfId="161" xr:uid="{00000000-0005-0000-0000-000056000000}"/>
    <cellStyle name="subhead" xfId="162" xr:uid="{00000000-0005-0000-0000-000057000000}"/>
    <cellStyle name="Title" xfId="163" xr:uid="{00000000-0005-0000-0000-000058000000}"/>
    <cellStyle name="Total" xfId="164" xr:uid="{00000000-0005-0000-0000-000059000000}"/>
    <cellStyle name="Warning Text" xfId="165" xr:uid="{00000000-0005-0000-0000-00005A000000}"/>
    <cellStyle name="강조색1 2" xfId="20" xr:uid="{00000000-0005-0000-0000-00005B000000}"/>
    <cellStyle name="강조색2 2" xfId="21" xr:uid="{00000000-0005-0000-0000-00005C000000}"/>
    <cellStyle name="강조색3 2" xfId="22" xr:uid="{00000000-0005-0000-0000-00005D000000}"/>
    <cellStyle name="강조색4 2" xfId="23" xr:uid="{00000000-0005-0000-0000-00005E000000}"/>
    <cellStyle name="강조색5 2" xfId="24" xr:uid="{00000000-0005-0000-0000-00005F000000}"/>
    <cellStyle name="강조색6 2" xfId="25" xr:uid="{00000000-0005-0000-0000-000060000000}"/>
    <cellStyle name="경고문 2" xfId="26" xr:uid="{00000000-0005-0000-0000-000061000000}"/>
    <cellStyle name="계산 2" xfId="27" xr:uid="{00000000-0005-0000-0000-000062000000}"/>
    <cellStyle name="계산 3" xfId="28" xr:uid="{00000000-0005-0000-0000-000063000000}"/>
    <cellStyle name="계산 4" xfId="29" xr:uid="{00000000-0005-0000-0000-000064000000}"/>
    <cellStyle name="나쁨 2" xfId="30" xr:uid="{00000000-0005-0000-0000-000065000000}"/>
    <cellStyle name="똿뗦먛귟 [0.00]_PRODUCT DETAIL Q1" xfId="166" xr:uid="{00000000-0005-0000-0000-000066000000}"/>
    <cellStyle name="똿뗦먛귟_PRODUCT DETAIL Q1" xfId="167" xr:uid="{00000000-0005-0000-0000-000067000000}"/>
    <cellStyle name="메모 2" xfId="31" xr:uid="{00000000-0005-0000-0000-000068000000}"/>
    <cellStyle name="메모 3" xfId="32" xr:uid="{00000000-0005-0000-0000-000069000000}"/>
    <cellStyle name="메모 4" xfId="33" xr:uid="{00000000-0005-0000-0000-00006A000000}"/>
    <cellStyle name="믅됞 [0.00]_PRODUCT DETAIL Q1" xfId="168" xr:uid="{00000000-0005-0000-0000-00006B000000}"/>
    <cellStyle name="믅됞_PRODUCT DETAIL Q1" xfId="169" xr:uid="{00000000-0005-0000-0000-00006C000000}"/>
    <cellStyle name="백분율 2" xfId="34" xr:uid="{00000000-0005-0000-0000-00006D000000}"/>
    <cellStyle name="백분율 3" xfId="35" xr:uid="{00000000-0005-0000-0000-00006E000000}"/>
    <cellStyle name="보통 2" xfId="36" xr:uid="{00000000-0005-0000-0000-00006F000000}"/>
    <cellStyle name="뷭?_BOOKSHIP" xfId="170" xr:uid="{00000000-0005-0000-0000-000070000000}"/>
    <cellStyle name="설명 텍스트 2" xfId="37" xr:uid="{00000000-0005-0000-0000-000071000000}"/>
    <cellStyle name="셀 확인 2" xfId="38" xr:uid="{00000000-0005-0000-0000-000072000000}"/>
    <cellStyle name="쉼표 [0]" xfId="90" builtinId="6"/>
    <cellStyle name="쉼표 [0] 2" xfId="39" xr:uid="{00000000-0005-0000-0000-000074000000}"/>
    <cellStyle name="쉼표 [0] 2 2" xfId="40" xr:uid="{00000000-0005-0000-0000-000075000000}"/>
    <cellStyle name="쉼표 [0] 2 2 2" xfId="41" xr:uid="{00000000-0005-0000-0000-000076000000}"/>
    <cellStyle name="쉼표 [0] 2 2 2 2" xfId="92" xr:uid="{00000000-0005-0000-0000-000077000000}"/>
    <cellStyle name="쉼표 [0] 2 2 2 2 2" xfId="185" xr:uid="{00000000-0005-0000-0000-000078000000}"/>
    <cellStyle name="쉼표 [0] 2 2 2 2 3" xfId="194" xr:uid="{00000000-0005-0000-0000-000079000000}"/>
    <cellStyle name="쉼표 [0] 2 2 2 3" xfId="183" xr:uid="{00000000-0005-0000-0000-00007A000000}"/>
    <cellStyle name="쉼표 [0] 2 2 2 4" xfId="192" xr:uid="{00000000-0005-0000-0000-00007B000000}"/>
    <cellStyle name="쉼표 [0] 2 2 3" xfId="42" xr:uid="{00000000-0005-0000-0000-00007C000000}"/>
    <cellStyle name="쉼표 [0] 2 2 4" xfId="43" xr:uid="{00000000-0005-0000-0000-00007D000000}"/>
    <cellStyle name="쉼표 [0] 2 2 5" xfId="88" xr:uid="{00000000-0005-0000-0000-00007E000000}"/>
    <cellStyle name="쉼표 [0] 2 2 6" xfId="181" xr:uid="{00000000-0005-0000-0000-00007F000000}"/>
    <cellStyle name="쉼표 [0] 2 2 7" xfId="190" xr:uid="{00000000-0005-0000-0000-000080000000}"/>
    <cellStyle name="쉼표 [0] 2 3" xfId="44" xr:uid="{00000000-0005-0000-0000-000081000000}"/>
    <cellStyle name="쉼표 [0] 2 3 2" xfId="45" xr:uid="{00000000-0005-0000-0000-000082000000}"/>
    <cellStyle name="쉼표 [0] 2 4" xfId="46" xr:uid="{00000000-0005-0000-0000-000083000000}"/>
    <cellStyle name="쉼표 [0] 2 5" xfId="47" xr:uid="{00000000-0005-0000-0000-000084000000}"/>
    <cellStyle name="쉼표 [0] 2 5 2" xfId="48" xr:uid="{00000000-0005-0000-0000-000085000000}"/>
    <cellStyle name="쉼표 [0] 2 6" xfId="171" xr:uid="{00000000-0005-0000-0000-000086000000}"/>
    <cellStyle name="쉼표 [0] 2 7" xfId="180" xr:uid="{00000000-0005-0000-0000-000087000000}"/>
    <cellStyle name="쉼표 [0] 2 72" xfId="49" xr:uid="{00000000-0005-0000-0000-000088000000}"/>
    <cellStyle name="쉼표 [0] 2 72 2" xfId="179" xr:uid="{00000000-0005-0000-0000-000089000000}"/>
    <cellStyle name="쉼표 [0] 2 72 3" xfId="188" xr:uid="{00000000-0005-0000-0000-00008A000000}"/>
    <cellStyle name="쉼표 [0] 2 8" xfId="189" xr:uid="{00000000-0005-0000-0000-00008B000000}"/>
    <cellStyle name="쉼표 [0] 3" xfId="50" xr:uid="{00000000-0005-0000-0000-00008C000000}"/>
    <cellStyle name="쉼표 [0] 3 2" xfId="51" xr:uid="{00000000-0005-0000-0000-00008D000000}"/>
    <cellStyle name="쉼표 [0] 3 3" xfId="52" xr:uid="{00000000-0005-0000-0000-00008E000000}"/>
    <cellStyle name="쉼표 [0] 3 4" xfId="91" xr:uid="{00000000-0005-0000-0000-00008F000000}"/>
    <cellStyle name="쉼표 [0] 3 5" xfId="182" xr:uid="{00000000-0005-0000-0000-000090000000}"/>
    <cellStyle name="쉼표 [0] 3 6" xfId="191" xr:uid="{00000000-0005-0000-0000-000091000000}"/>
    <cellStyle name="쉼표 [0] 4" xfId="53" xr:uid="{00000000-0005-0000-0000-000092000000}"/>
    <cellStyle name="쉼표 [0] 4 2" xfId="187" xr:uid="{00000000-0005-0000-0000-000093000000}"/>
    <cellStyle name="쉼표 [0] 4 3" xfId="196" xr:uid="{00000000-0005-0000-0000-000094000000}"/>
    <cellStyle name="쉼표 [0] 5" xfId="54" xr:uid="{00000000-0005-0000-0000-000095000000}"/>
    <cellStyle name="쉼표 [0] 6" xfId="184" xr:uid="{00000000-0005-0000-0000-000096000000}"/>
    <cellStyle name="쉼표 [0] 7" xfId="193" xr:uid="{00000000-0005-0000-0000-000097000000}"/>
    <cellStyle name="스타일 1" xfId="172" xr:uid="{00000000-0005-0000-0000-000098000000}"/>
    <cellStyle name="연결된 셀 2" xfId="55" xr:uid="{00000000-0005-0000-0000-000099000000}"/>
    <cellStyle name="요약 2" xfId="56" xr:uid="{00000000-0005-0000-0000-00009A000000}"/>
    <cellStyle name="요약 3" xfId="57" xr:uid="{00000000-0005-0000-0000-00009B000000}"/>
    <cellStyle name="요약 4" xfId="58" xr:uid="{00000000-0005-0000-0000-00009C000000}"/>
    <cellStyle name="원" xfId="173" xr:uid="{00000000-0005-0000-0000-00009D000000}"/>
    <cellStyle name="입력 2" xfId="59" xr:uid="{00000000-0005-0000-0000-00009E000000}"/>
    <cellStyle name="입력 3" xfId="60" xr:uid="{00000000-0005-0000-0000-00009F000000}"/>
    <cellStyle name="입력 4" xfId="61" xr:uid="{00000000-0005-0000-0000-0000A0000000}"/>
    <cellStyle name="제목 1 2" xfId="62" xr:uid="{00000000-0005-0000-0000-0000A1000000}"/>
    <cellStyle name="제목 2 2" xfId="63" xr:uid="{00000000-0005-0000-0000-0000A2000000}"/>
    <cellStyle name="제목 3 2" xfId="64" xr:uid="{00000000-0005-0000-0000-0000A3000000}"/>
    <cellStyle name="제목 4 2" xfId="65" xr:uid="{00000000-0005-0000-0000-0000A4000000}"/>
    <cellStyle name="제목 5" xfId="66" xr:uid="{00000000-0005-0000-0000-0000A5000000}"/>
    <cellStyle name="좋음 2" xfId="67" xr:uid="{00000000-0005-0000-0000-0000A6000000}"/>
    <cellStyle name="출력 2" xfId="68" xr:uid="{00000000-0005-0000-0000-0000A7000000}"/>
    <cellStyle name="출력 3" xfId="69" xr:uid="{00000000-0005-0000-0000-0000A8000000}"/>
    <cellStyle name="출력 4" xfId="70" xr:uid="{00000000-0005-0000-0000-0000A9000000}"/>
    <cellStyle name="콤마 [0]_  RANGE " xfId="174" xr:uid="{00000000-0005-0000-0000-0000AA000000}"/>
    <cellStyle name="콤마_  RANGE " xfId="175" xr:uid="{00000000-0005-0000-0000-0000AB000000}"/>
    <cellStyle name="통화 [0] 2" xfId="71" xr:uid="{00000000-0005-0000-0000-0000AC000000}"/>
    <cellStyle name="통화 [0] 2 2" xfId="176" xr:uid="{00000000-0005-0000-0000-0000AD000000}"/>
    <cellStyle name="통화 [0] 2 3" xfId="186" xr:uid="{00000000-0005-0000-0000-0000AE000000}"/>
    <cellStyle name="통화 [0] 2 4" xfId="195" xr:uid="{00000000-0005-0000-0000-0000AF000000}"/>
    <cellStyle name="표준" xfId="0" builtinId="0"/>
    <cellStyle name="표준 132" xfId="89" xr:uid="{00000000-0005-0000-0000-0000B1000000}"/>
    <cellStyle name="표준 2" xfId="72" xr:uid="{00000000-0005-0000-0000-0000B2000000}"/>
    <cellStyle name="표준 2 2" xfId="73" xr:uid="{00000000-0005-0000-0000-0000B3000000}"/>
    <cellStyle name="표준 2 2 2" xfId="74" xr:uid="{00000000-0005-0000-0000-0000B4000000}"/>
    <cellStyle name="표준 2 2 3" xfId="75" xr:uid="{00000000-0005-0000-0000-0000B5000000}"/>
    <cellStyle name="표준 2 3" xfId="76" xr:uid="{00000000-0005-0000-0000-0000B6000000}"/>
    <cellStyle name="표준 2 4" xfId="177" xr:uid="{00000000-0005-0000-0000-0000B7000000}"/>
    <cellStyle name="표준 2 7 2" xfId="77" xr:uid="{00000000-0005-0000-0000-0000B8000000}"/>
    <cellStyle name="표준 2 9 2" xfId="78" xr:uid="{00000000-0005-0000-0000-0000B9000000}"/>
    <cellStyle name="표준 3" xfId="79" xr:uid="{00000000-0005-0000-0000-0000BA000000}"/>
    <cellStyle name="표준 3 2" xfId="80" xr:uid="{00000000-0005-0000-0000-0000BB000000}"/>
    <cellStyle name="표준 3 3" xfId="81" xr:uid="{00000000-0005-0000-0000-0000BC000000}"/>
    <cellStyle name="표준 4" xfId="82" xr:uid="{00000000-0005-0000-0000-0000BD000000}"/>
    <cellStyle name="표준 4 2" xfId="1" xr:uid="{00000000-0005-0000-0000-0000BE000000}"/>
    <cellStyle name="표준 5" xfId="83" xr:uid="{00000000-0005-0000-0000-0000BF000000}"/>
    <cellStyle name="표준 5 2" xfId="84" xr:uid="{00000000-0005-0000-0000-0000C0000000}"/>
    <cellStyle name="표준 6" xfId="85" xr:uid="{00000000-0005-0000-0000-0000C1000000}"/>
    <cellStyle name="표준 6 2" xfId="178" xr:uid="{00000000-0005-0000-0000-0000C2000000}"/>
    <cellStyle name="표준 7" xfId="86" xr:uid="{00000000-0005-0000-0000-0000C3000000}"/>
    <cellStyle name="표준 8" xfId="87" xr:uid="{00000000-0005-0000-0000-0000C4000000}"/>
  </cellStyles>
  <dxfs count="6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79"/>
  <sheetViews>
    <sheetView tabSelected="1" zoomScale="115" zoomScaleNormal="115" workbookViewId="0">
      <pane ySplit="2" topLeftCell="A56" activePane="bottomLeft" state="frozen"/>
      <selection activeCell="AG32" sqref="AG32"/>
      <selection pane="bottomLeft" activeCell="F68" sqref="F68"/>
    </sheetView>
  </sheetViews>
  <sheetFormatPr defaultRowHeight="16.5"/>
  <cols>
    <col min="2" max="2" width="13.125" bestFit="1" customWidth="1"/>
    <col min="3" max="3" width="14.375" style="32" bestFit="1" customWidth="1"/>
    <col min="4" max="4" width="14.375" style="9" customWidth="1"/>
    <col min="5" max="5" width="27.25" style="10" customWidth="1"/>
    <col min="6" max="6" width="9" style="38"/>
    <col min="7" max="8" width="9" style="69"/>
  </cols>
  <sheetData>
    <row r="1" spans="1:9" ht="38.25" customHeight="1">
      <c r="A1" s="121" t="s">
        <v>59</v>
      </c>
      <c r="B1" s="121"/>
      <c r="C1" s="121"/>
      <c r="D1" s="121"/>
      <c r="E1" s="121"/>
    </row>
    <row r="2" spans="1:9" ht="20.25" customHeight="1">
      <c r="A2" s="25" t="s">
        <v>34</v>
      </c>
      <c r="B2" s="25" t="s">
        <v>35</v>
      </c>
      <c r="C2" s="26" t="s">
        <v>17</v>
      </c>
      <c r="D2" s="27" t="s">
        <v>218</v>
      </c>
      <c r="E2" s="27" t="s">
        <v>219</v>
      </c>
      <c r="F2" s="38" t="s">
        <v>221</v>
      </c>
    </row>
    <row r="3" spans="1:9" ht="22.5" customHeight="1">
      <c r="A3" s="41">
        <v>1</v>
      </c>
      <c r="B3" s="42" t="str">
        <f>김향숙!T21</f>
        <v>김향숙</v>
      </c>
      <c r="C3" s="73">
        <f>김향숙!T17</f>
        <v>-0.4599999999627471</v>
      </c>
      <c r="D3" s="43">
        <v>0</v>
      </c>
      <c r="E3" s="44">
        <f>C3-D3</f>
        <v>-0.4599999999627471</v>
      </c>
      <c r="F3" s="45" t="s">
        <v>234</v>
      </c>
    </row>
    <row r="4" spans="1:9" ht="22.5" customHeight="1">
      <c r="A4" s="41">
        <v>2</v>
      </c>
      <c r="B4" s="42" t="str">
        <f>이영수!T21</f>
        <v>이영수</v>
      </c>
      <c r="C4" s="73">
        <f>이영수!T17</f>
        <v>-0.41999999992549419</v>
      </c>
      <c r="D4" s="43">
        <v>0</v>
      </c>
      <c r="E4" s="44">
        <f t="shared" ref="E4:E15" si="0">C4-D4</f>
        <v>-0.41999999992549419</v>
      </c>
      <c r="F4" s="45" t="s">
        <v>234</v>
      </c>
    </row>
    <row r="5" spans="1:9" ht="22.5" customHeight="1">
      <c r="A5" s="41">
        <v>3</v>
      </c>
      <c r="B5" s="42" t="str">
        <f>이미영A!T21</f>
        <v>이미영</v>
      </c>
      <c r="C5" s="73">
        <f>이미영A!T17</f>
        <v>0.16000000014901161</v>
      </c>
      <c r="D5" s="43">
        <v>0</v>
      </c>
      <c r="E5" s="44">
        <f t="shared" si="0"/>
        <v>0.16000000014901161</v>
      </c>
      <c r="F5" s="45" t="s">
        <v>234</v>
      </c>
    </row>
    <row r="6" spans="1:9" ht="22.5" customHeight="1">
      <c r="A6" s="41">
        <v>4</v>
      </c>
      <c r="B6" s="42" t="str">
        <f>윤선희!T21</f>
        <v>윤선희</v>
      </c>
      <c r="C6" s="73">
        <f>윤선희!T17</f>
        <v>0.14000000013038516</v>
      </c>
      <c r="D6" s="43">
        <v>0</v>
      </c>
      <c r="E6" s="44">
        <f t="shared" si="0"/>
        <v>0.14000000013038516</v>
      </c>
      <c r="F6" s="45" t="s">
        <v>234</v>
      </c>
    </row>
    <row r="7" spans="1:9" ht="22.5" customHeight="1">
      <c r="A7" s="41">
        <v>5</v>
      </c>
      <c r="B7" s="42" t="str">
        <f>또아!T21</f>
        <v>또아</v>
      </c>
      <c r="C7" s="73">
        <f>또아!T17</f>
        <v>0</v>
      </c>
      <c r="D7" s="43">
        <v>0</v>
      </c>
      <c r="E7" s="44">
        <f t="shared" si="0"/>
        <v>0</v>
      </c>
      <c r="F7" s="45" t="s">
        <v>234</v>
      </c>
    </row>
    <row r="8" spans="1:9" ht="22.5" customHeight="1">
      <c r="A8" s="41">
        <v>6</v>
      </c>
      <c r="B8" s="42" t="str">
        <f>김봉화!T21</f>
        <v>김봉화</v>
      </c>
      <c r="C8" s="73">
        <f>김봉화!T17</f>
        <v>0.35999999986961484</v>
      </c>
      <c r="D8" s="43">
        <v>0</v>
      </c>
      <c r="E8" s="44">
        <f t="shared" si="0"/>
        <v>0.35999999986961484</v>
      </c>
      <c r="F8" s="45" t="s">
        <v>234</v>
      </c>
    </row>
    <row r="9" spans="1:9" ht="22.5" customHeight="1">
      <c r="A9" s="41">
        <v>7</v>
      </c>
      <c r="B9" s="42" t="str">
        <f>이윤진!T21</f>
        <v>이윤진</v>
      </c>
      <c r="C9" s="73">
        <f>이윤진!T17</f>
        <v>-0.4599999999627471</v>
      </c>
      <c r="D9" s="43">
        <v>0</v>
      </c>
      <c r="E9" s="44">
        <f t="shared" si="0"/>
        <v>-0.4599999999627471</v>
      </c>
      <c r="F9" s="45" t="s">
        <v>234</v>
      </c>
    </row>
    <row r="10" spans="1:9" ht="22.5" customHeight="1">
      <c r="A10" s="41">
        <v>8</v>
      </c>
      <c r="B10" s="42" t="str">
        <f>이윤영!T21</f>
        <v>이윤영</v>
      </c>
      <c r="C10" s="73">
        <f>이윤영!T17</f>
        <v>-0.31999999983236194</v>
      </c>
      <c r="D10" s="43">
        <v>0</v>
      </c>
      <c r="E10" s="44">
        <f t="shared" si="0"/>
        <v>-0.31999999983236194</v>
      </c>
      <c r="F10" s="45" t="s">
        <v>234</v>
      </c>
    </row>
    <row r="11" spans="1:9" ht="22.5" customHeight="1">
      <c r="A11" s="41">
        <v>9</v>
      </c>
      <c r="B11" s="42" t="str">
        <f>김성실!T21</f>
        <v>김성실</v>
      </c>
      <c r="C11" s="73">
        <f>김성실!T17</f>
        <v>0.25999999977648258</v>
      </c>
      <c r="D11" s="43">
        <v>0</v>
      </c>
      <c r="E11" s="44">
        <f t="shared" si="0"/>
        <v>0.25999999977648258</v>
      </c>
      <c r="F11" s="45" t="s">
        <v>234</v>
      </c>
    </row>
    <row r="12" spans="1:9" ht="22.5" customHeight="1">
      <c r="A12" s="41">
        <v>10</v>
      </c>
      <c r="B12" s="42" t="str">
        <f>박승미!T21</f>
        <v>박승미</v>
      </c>
      <c r="C12" s="73">
        <f>박승미!T17</f>
        <v>0.39999999990686774</v>
      </c>
      <c r="D12" s="43">
        <v>0</v>
      </c>
      <c r="E12" s="44">
        <f t="shared" si="0"/>
        <v>0.39999999990686774</v>
      </c>
      <c r="F12" s="45" t="s">
        <v>234</v>
      </c>
    </row>
    <row r="13" spans="1:9" ht="22.5" customHeight="1">
      <c r="A13" s="41">
        <v>11</v>
      </c>
      <c r="B13" s="42" t="str">
        <f>김수희!T21</f>
        <v>김수희</v>
      </c>
      <c r="C13" s="73">
        <f>김수희!T17</f>
        <v>0</v>
      </c>
      <c r="D13" s="43">
        <v>0</v>
      </c>
      <c r="E13" s="44">
        <f t="shared" si="0"/>
        <v>0</v>
      </c>
      <c r="F13" s="45" t="s">
        <v>234</v>
      </c>
    </row>
    <row r="14" spans="1:9" ht="22.5" customHeight="1">
      <c r="A14" s="41">
        <v>12</v>
      </c>
      <c r="B14" s="42" t="str">
        <f>설홍매!T21</f>
        <v>설홍매</v>
      </c>
      <c r="C14" s="73">
        <f>설홍매!T17</f>
        <v>-0.4599999999627471</v>
      </c>
      <c r="D14" s="43">
        <v>0</v>
      </c>
      <c r="E14" s="44">
        <f t="shared" si="0"/>
        <v>-0.4599999999627471</v>
      </c>
      <c r="F14" s="45" t="s">
        <v>234</v>
      </c>
    </row>
    <row r="15" spans="1:9" ht="22.5" customHeight="1">
      <c r="A15" s="41">
        <v>13</v>
      </c>
      <c r="B15" s="42" t="str">
        <f>김구연!T21</f>
        <v>김구연</v>
      </c>
      <c r="C15" s="73">
        <f>김구연!T17</f>
        <v>0</v>
      </c>
      <c r="D15" s="43">
        <v>0</v>
      </c>
      <c r="E15" s="44">
        <f t="shared" si="0"/>
        <v>0</v>
      </c>
      <c r="F15" s="45" t="s">
        <v>234</v>
      </c>
    </row>
    <row r="16" spans="1:9" s="31" customFormat="1" ht="22.5" customHeight="1">
      <c r="A16" s="28">
        <v>14</v>
      </c>
      <c r="B16" s="15" t="str">
        <f>김현순!T21</f>
        <v>김현순</v>
      </c>
      <c r="C16" s="72">
        <f>김현순!T17</f>
        <v>2598212.96</v>
      </c>
      <c r="D16" s="29">
        <v>2598212.96</v>
      </c>
      <c r="E16" s="30">
        <f>C16-D16</f>
        <v>0</v>
      </c>
      <c r="F16" s="39"/>
      <c r="G16" s="1"/>
      <c r="H16" s="69"/>
      <c r="I16"/>
    </row>
    <row r="17" spans="1:9" s="31" customFormat="1" ht="22.5" customHeight="1">
      <c r="A17" s="28">
        <v>15</v>
      </c>
      <c r="B17" s="15" t="str">
        <f>장희숙!T21</f>
        <v>장희숙</v>
      </c>
      <c r="C17" s="72">
        <f>장희숙!T17</f>
        <v>2339056.96</v>
      </c>
      <c r="D17" s="29">
        <v>2339056.96</v>
      </c>
      <c r="E17" s="30">
        <f t="shared" ref="E17:E71" si="1">C17-D17</f>
        <v>0</v>
      </c>
      <c r="F17" s="39"/>
      <c r="G17" s="1"/>
      <c r="H17" s="69"/>
      <c r="I17"/>
    </row>
    <row r="18" spans="1:9" s="31" customFormat="1" ht="22.5" customHeight="1">
      <c r="A18" s="28">
        <v>16</v>
      </c>
      <c r="B18" s="15" t="str">
        <f>김수정B!T21</f>
        <v>김수정</v>
      </c>
      <c r="C18" s="72">
        <f>김수정B!T17</f>
        <v>2290784.3199999998</v>
      </c>
      <c r="D18" s="29">
        <v>2290784.3199999998</v>
      </c>
      <c r="E18" s="30">
        <f t="shared" si="1"/>
        <v>0</v>
      </c>
      <c r="F18" s="39"/>
      <c r="G18" s="1"/>
      <c r="H18" s="69"/>
      <c r="I18"/>
    </row>
    <row r="19" spans="1:9" s="31" customFormat="1" ht="22.5" customHeight="1">
      <c r="A19" s="28">
        <v>17</v>
      </c>
      <c r="B19" s="15" t="str">
        <f>박서원B!T21</f>
        <v>박서원</v>
      </c>
      <c r="C19" s="72">
        <f>박서원B!T17</f>
        <v>2533346.6</v>
      </c>
      <c r="D19" s="29">
        <v>2533346.6</v>
      </c>
      <c r="E19" s="30">
        <f t="shared" si="1"/>
        <v>0</v>
      </c>
      <c r="F19" s="39"/>
      <c r="G19" s="1"/>
      <c r="H19" s="69"/>
      <c r="I19"/>
    </row>
    <row r="20" spans="1:9" s="31" customFormat="1" ht="22.5" customHeight="1">
      <c r="A20" s="28">
        <v>18</v>
      </c>
      <c r="B20" s="15" t="str">
        <f>최삼순!T21</f>
        <v>최삼순</v>
      </c>
      <c r="C20" s="72">
        <f>최삼순!T17</f>
        <v>2496484.56</v>
      </c>
      <c r="D20" s="29">
        <v>2496484.56</v>
      </c>
      <c r="E20" s="30">
        <f t="shared" si="1"/>
        <v>0</v>
      </c>
      <c r="F20" s="39"/>
      <c r="G20" s="1"/>
      <c r="H20" s="69"/>
      <c r="I20"/>
    </row>
    <row r="21" spans="1:9" s="31" customFormat="1" ht="22.5" customHeight="1">
      <c r="A21" s="28">
        <v>19</v>
      </c>
      <c r="B21" s="15" t="str">
        <f>프라타레네린!T21</f>
        <v>프라타레네린</v>
      </c>
      <c r="C21" s="72">
        <f>프라타레네린!T17</f>
        <v>2087327.52</v>
      </c>
      <c r="D21" s="29">
        <v>2087327.52</v>
      </c>
      <c r="E21" s="30">
        <f t="shared" si="1"/>
        <v>0</v>
      </c>
      <c r="F21" s="39"/>
      <c r="G21" s="1"/>
      <c r="H21" s="69"/>
      <c r="I21"/>
    </row>
    <row r="22" spans="1:9" s="31" customFormat="1" ht="22.5" customHeight="1">
      <c r="A22" s="28">
        <v>20</v>
      </c>
      <c r="B22" s="15" t="str">
        <f>육은심!T21</f>
        <v>육은심</v>
      </c>
      <c r="C22" s="72">
        <f>육은심!T17</f>
        <v>2446587.36</v>
      </c>
      <c r="D22" s="29">
        <v>2446587.36</v>
      </c>
      <c r="E22" s="30">
        <f t="shared" si="1"/>
        <v>0</v>
      </c>
      <c r="F22" s="5"/>
      <c r="G22" s="1"/>
      <c r="H22" s="69"/>
      <c r="I22"/>
    </row>
    <row r="23" spans="1:9" s="31" customFormat="1" ht="22.5" customHeight="1">
      <c r="A23" s="28">
        <v>21</v>
      </c>
      <c r="B23" s="15" t="str">
        <f>김수현!T21</f>
        <v>김수현</v>
      </c>
      <c r="C23" s="72">
        <f>김수현!T17</f>
        <v>2055455.2</v>
      </c>
      <c r="D23" s="29">
        <v>2055455.2</v>
      </c>
      <c r="E23" s="30">
        <f t="shared" si="1"/>
        <v>0</v>
      </c>
      <c r="F23" s="5"/>
      <c r="G23" s="1"/>
      <c r="H23" s="69"/>
      <c r="I23"/>
    </row>
    <row r="24" spans="1:9" ht="22.5" customHeight="1">
      <c r="A24" s="41">
        <v>22</v>
      </c>
      <c r="B24" s="42" t="str">
        <f>한계숙!T21</f>
        <v>한계숙</v>
      </c>
      <c r="C24" s="73">
        <f>한계숙!T17</f>
        <v>-0.31999999983236194</v>
      </c>
      <c r="D24" s="43">
        <v>0</v>
      </c>
      <c r="E24" s="44">
        <f t="shared" si="1"/>
        <v>-0.31999999983236194</v>
      </c>
      <c r="F24" s="45" t="s">
        <v>234</v>
      </c>
    </row>
    <row r="25" spans="1:9" s="31" customFormat="1" ht="22.5" customHeight="1">
      <c r="A25" s="28">
        <v>23</v>
      </c>
      <c r="B25" s="15" t="str">
        <f>풍춘향!T21</f>
        <v>풍춘향</v>
      </c>
      <c r="C25" s="72">
        <f>풍춘향!T17</f>
        <v>2566340.64</v>
      </c>
      <c r="D25" s="29">
        <v>2566340.64</v>
      </c>
      <c r="E25" s="30">
        <f t="shared" si="1"/>
        <v>0</v>
      </c>
      <c r="F25" s="40"/>
      <c r="G25" s="1"/>
      <c r="H25" s="69"/>
      <c r="I25"/>
    </row>
    <row r="26" spans="1:9" ht="22.5" customHeight="1">
      <c r="A26" s="41">
        <v>24</v>
      </c>
      <c r="B26" s="42" t="str">
        <f>유지원!T21</f>
        <v>유지원</v>
      </c>
      <c r="C26" s="73">
        <f>유지원!T17</f>
        <v>0</v>
      </c>
      <c r="D26" s="43">
        <v>0</v>
      </c>
      <c r="E26" s="44">
        <f t="shared" si="1"/>
        <v>0</v>
      </c>
      <c r="F26" s="45" t="s">
        <v>234</v>
      </c>
    </row>
    <row r="27" spans="1:9" s="31" customFormat="1" ht="22.5" customHeight="1">
      <c r="A27" s="28">
        <v>25</v>
      </c>
      <c r="B27" s="15" t="str">
        <f>김연순!T21</f>
        <v>김연순</v>
      </c>
      <c r="C27" s="72">
        <f>김연순!T17</f>
        <v>2446587.36</v>
      </c>
      <c r="D27" s="29">
        <v>2446587.36</v>
      </c>
      <c r="E27" s="30">
        <f t="shared" si="1"/>
        <v>0</v>
      </c>
      <c r="F27" s="40"/>
      <c r="G27" s="1"/>
      <c r="H27" s="69"/>
      <c r="I27"/>
    </row>
    <row r="28" spans="1:9" s="31" customFormat="1" ht="22.5" customHeight="1">
      <c r="A28" s="28">
        <v>26</v>
      </c>
      <c r="B28" s="15" t="str">
        <f>지미경!T21</f>
        <v>지미경</v>
      </c>
      <c r="C28" s="72">
        <f>지미경!T17</f>
        <v>2438541.92</v>
      </c>
      <c r="D28" s="29">
        <v>2438541.92</v>
      </c>
      <c r="E28" s="30">
        <f t="shared" si="1"/>
        <v>0</v>
      </c>
      <c r="F28" s="40"/>
      <c r="G28" s="1"/>
      <c r="H28" s="69"/>
      <c r="I28"/>
    </row>
    <row r="29" spans="1:9" s="31" customFormat="1" ht="22.5" customHeight="1">
      <c r="A29" s="28">
        <v>27</v>
      </c>
      <c r="B29" s="15" t="str">
        <f>트란티남!T21</f>
        <v>쩐티남</v>
      </c>
      <c r="C29" s="72">
        <f>트란티남!T17</f>
        <v>2534468.3199999998</v>
      </c>
      <c r="D29" s="29">
        <v>2534468.3199999998</v>
      </c>
      <c r="E29" s="30">
        <f t="shared" si="1"/>
        <v>0</v>
      </c>
      <c r="F29" s="40"/>
      <c r="G29" s="1"/>
      <c r="H29" s="69"/>
      <c r="I29"/>
    </row>
    <row r="30" spans="1:9" s="31" customFormat="1" ht="22.5" customHeight="1">
      <c r="A30" s="28">
        <v>28</v>
      </c>
      <c r="B30" s="15" t="str">
        <f>박혜선!T21</f>
        <v>박혜선</v>
      </c>
      <c r="C30" s="72">
        <f>박혜선!T17</f>
        <v>2819191.8</v>
      </c>
      <c r="D30" s="29">
        <v>2819191.8</v>
      </c>
      <c r="E30" s="30">
        <f t="shared" si="1"/>
        <v>0</v>
      </c>
      <c r="F30" s="40"/>
      <c r="G30" s="1"/>
      <c r="H30" s="69"/>
      <c r="I30"/>
    </row>
    <row r="31" spans="1:9" s="31" customFormat="1" ht="22.5" customHeight="1">
      <c r="A31" s="28">
        <v>29</v>
      </c>
      <c r="B31" s="15" t="str">
        <f>이수진!T21</f>
        <v>이수진</v>
      </c>
      <c r="C31" s="72">
        <f>이수진!T17</f>
        <v>2912023.8</v>
      </c>
      <c r="D31" s="29">
        <v>2912023.8</v>
      </c>
      <c r="E31" s="30">
        <f t="shared" si="1"/>
        <v>0</v>
      </c>
      <c r="F31" s="40"/>
      <c r="G31" s="1"/>
      <c r="H31" s="69"/>
      <c r="I31"/>
    </row>
    <row r="32" spans="1:9" s="31" customFormat="1" ht="22.5" customHeight="1">
      <c r="A32" s="28">
        <v>30</v>
      </c>
      <c r="B32" s="15" t="str">
        <f>강명옥!T21</f>
        <v>강명옥</v>
      </c>
      <c r="C32" s="72">
        <f>강명옥!T17</f>
        <v>2255044</v>
      </c>
      <c r="D32" s="29">
        <v>2255044</v>
      </c>
      <c r="E32" s="30">
        <f t="shared" si="1"/>
        <v>0</v>
      </c>
      <c r="F32" s="40"/>
      <c r="G32" s="1"/>
      <c r="H32" s="69"/>
      <c r="I32"/>
    </row>
    <row r="33" spans="1:9" s="31" customFormat="1" ht="22.5" customHeight="1">
      <c r="A33" s="28">
        <v>31</v>
      </c>
      <c r="B33" s="15" t="str">
        <f>최춘자!T21</f>
        <v>최춘자</v>
      </c>
      <c r="C33" s="72">
        <f>최춘자!T17</f>
        <v>2666715.2400000002</v>
      </c>
      <c r="D33" s="29">
        <v>2666715.2400000002</v>
      </c>
      <c r="E33" s="30">
        <f t="shared" si="1"/>
        <v>0</v>
      </c>
      <c r="F33" s="40"/>
      <c r="G33" s="1"/>
      <c r="H33" s="69"/>
      <c r="I33"/>
    </row>
    <row r="34" spans="1:9" s="31" customFormat="1" ht="22.5" customHeight="1">
      <c r="A34" s="28">
        <v>32</v>
      </c>
      <c r="B34" s="15" t="str">
        <f>레티탐!T21</f>
        <v>레티탐</v>
      </c>
      <c r="C34" s="72">
        <f>레티탐!T17</f>
        <v>2819191.8</v>
      </c>
      <c r="D34" s="29">
        <v>2819191.8</v>
      </c>
      <c r="E34" s="30">
        <f t="shared" si="1"/>
        <v>0</v>
      </c>
      <c r="F34" s="40"/>
      <c r="G34" s="1"/>
      <c r="H34" s="69"/>
      <c r="I34"/>
    </row>
    <row r="35" spans="1:9" s="31" customFormat="1" ht="22.5" customHeight="1">
      <c r="A35" s="28">
        <v>33</v>
      </c>
      <c r="B35" s="15" t="str">
        <f>노미순!T21</f>
        <v>노미순</v>
      </c>
      <c r="C35" s="72">
        <f>노미순!T17</f>
        <v>2650044.16</v>
      </c>
      <c r="D35" s="29">
        <v>2650044.16</v>
      </c>
      <c r="E35" s="30">
        <f t="shared" si="1"/>
        <v>0</v>
      </c>
      <c r="F35" s="5"/>
      <c r="G35" s="1"/>
      <c r="H35" s="69"/>
      <c r="I35"/>
    </row>
    <row r="36" spans="1:9" s="31" customFormat="1" ht="22.5" customHeight="1">
      <c r="A36" s="28">
        <v>34</v>
      </c>
      <c r="B36" s="15" t="str">
        <f>한서현!T21</f>
        <v>한서현</v>
      </c>
      <c r="C36" s="72">
        <f>한서현!T17</f>
        <v>2566340.64</v>
      </c>
      <c r="D36" s="29">
        <v>2566340.64</v>
      </c>
      <c r="E36" s="30">
        <f t="shared" si="1"/>
        <v>0</v>
      </c>
      <c r="F36" s="40"/>
      <c r="G36" s="1"/>
      <c r="H36" s="69"/>
      <c r="I36"/>
    </row>
    <row r="37" spans="1:9" s="31" customFormat="1" ht="22.5" customHeight="1">
      <c r="A37" s="28">
        <v>35</v>
      </c>
      <c r="B37" s="15" t="str">
        <f>응웬티회!T21</f>
        <v>응웬티회</v>
      </c>
      <c r="C37" s="72">
        <f>응웬티회!T17</f>
        <v>2095372.96</v>
      </c>
      <c r="D37" s="29">
        <v>2095372.96</v>
      </c>
      <c r="E37" s="30">
        <f t="shared" si="1"/>
        <v>0</v>
      </c>
      <c r="F37" s="40"/>
      <c r="G37" s="1"/>
      <c r="H37" s="69"/>
      <c r="I37"/>
    </row>
    <row r="38" spans="1:9" s="31" customFormat="1" ht="22.5" customHeight="1">
      <c r="A38" s="28">
        <v>36</v>
      </c>
      <c r="B38" s="15" t="str">
        <f>정오례!T21</f>
        <v>정오례</v>
      </c>
      <c r="C38" s="72">
        <f>정오례!T17</f>
        <v>2326834.08</v>
      </c>
      <c r="D38" s="29">
        <v>2326834.08</v>
      </c>
      <c r="E38" s="30">
        <f t="shared" si="1"/>
        <v>0</v>
      </c>
      <c r="F38" s="40"/>
      <c r="G38" s="1"/>
      <c r="H38" s="69"/>
      <c r="I38"/>
    </row>
    <row r="39" spans="1:9" s="31" customFormat="1" ht="22.5" customHeight="1">
      <c r="A39" s="28">
        <v>37</v>
      </c>
      <c r="B39" s="15" t="str">
        <f>문영!T21</f>
        <v>문영</v>
      </c>
      <c r="C39" s="72">
        <f>문영!T17</f>
        <v>2318788.64</v>
      </c>
      <c r="D39" s="29">
        <v>2318788.64</v>
      </c>
      <c r="E39" s="30">
        <f t="shared" si="1"/>
        <v>0</v>
      </c>
      <c r="F39" s="40"/>
      <c r="G39" s="1"/>
      <c r="H39" s="69"/>
      <c r="I39"/>
    </row>
    <row r="40" spans="1:9" s="31" customFormat="1" ht="22.5" customHeight="1">
      <c r="A40" s="28">
        <v>38</v>
      </c>
      <c r="B40" s="15" t="str">
        <f>박정희!T21</f>
        <v>박정희</v>
      </c>
      <c r="C40" s="72">
        <f>박정희!T17</f>
        <v>2534468.3199999998</v>
      </c>
      <c r="D40" s="29">
        <v>2534468.3199999998</v>
      </c>
      <c r="E40" s="30">
        <f t="shared" si="1"/>
        <v>0</v>
      </c>
      <c r="F40" s="40"/>
      <c r="G40" s="1"/>
      <c r="H40" s="69"/>
      <c r="I40"/>
    </row>
    <row r="41" spans="1:9" s="31" customFormat="1" ht="22.5" customHeight="1">
      <c r="A41" s="28">
        <v>39</v>
      </c>
      <c r="B41" s="15" t="str">
        <f>임정숙!T21</f>
        <v>임정숙</v>
      </c>
      <c r="C41" s="72">
        <f>임정숙!T17</f>
        <v>2458500.7999999998</v>
      </c>
      <c r="D41" s="29">
        <v>2458500.7999999998</v>
      </c>
      <c r="E41" s="30">
        <f t="shared" si="1"/>
        <v>0</v>
      </c>
      <c r="F41" s="40"/>
      <c r="G41" s="1"/>
      <c r="H41" s="69"/>
      <c r="I41"/>
    </row>
    <row r="42" spans="1:9" s="31" customFormat="1" ht="22.5" customHeight="1">
      <c r="A42" s="28">
        <v>40</v>
      </c>
      <c r="B42" s="15" t="str">
        <f>한부덕!T21</f>
        <v>한부덕</v>
      </c>
      <c r="C42" s="72">
        <f>한부덕!T17</f>
        <v>2167163.04</v>
      </c>
      <c r="D42" s="29">
        <v>2167163.04</v>
      </c>
      <c r="E42" s="30">
        <f t="shared" si="1"/>
        <v>0</v>
      </c>
      <c r="F42" s="40"/>
      <c r="G42" s="1"/>
      <c r="H42" s="69"/>
      <c r="I42"/>
    </row>
    <row r="43" spans="1:9" s="31" customFormat="1" ht="22.5" customHeight="1">
      <c r="A43" s="28">
        <v>41</v>
      </c>
      <c r="B43" s="15" t="str">
        <f>후인민뉴!T21</f>
        <v>후인민뉴</v>
      </c>
      <c r="C43" s="72">
        <f>후인민뉴!T17</f>
        <v>2276930</v>
      </c>
      <c r="D43" s="29">
        <v>2276930</v>
      </c>
      <c r="E43" s="30">
        <f t="shared" si="1"/>
        <v>0</v>
      </c>
      <c r="F43" s="40"/>
      <c r="G43" s="1"/>
      <c r="H43" s="69"/>
      <c r="I43"/>
    </row>
    <row r="44" spans="1:9" ht="22.5" customHeight="1">
      <c r="A44" s="28">
        <v>42</v>
      </c>
      <c r="B44" s="15" t="str">
        <f>송순옥!T21</f>
        <v>송순옥</v>
      </c>
      <c r="C44" s="72">
        <f>송순옥!T17</f>
        <v>166200</v>
      </c>
      <c r="D44" s="7">
        <v>166200</v>
      </c>
      <c r="E44" s="30">
        <f t="shared" si="1"/>
        <v>0</v>
      </c>
    </row>
    <row r="45" spans="1:9" ht="22.5" customHeight="1">
      <c r="A45" s="28">
        <v>43</v>
      </c>
      <c r="B45" s="15" t="str">
        <f>응우옌티휴옌짱!T21</f>
        <v>응우옌티
휴옌짱</v>
      </c>
      <c r="C45" s="72">
        <f>응우옌티휴옌짱!T17</f>
        <v>2566340</v>
      </c>
      <c r="D45" s="7">
        <v>2566340</v>
      </c>
      <c r="E45" s="30">
        <f t="shared" si="1"/>
        <v>0</v>
      </c>
    </row>
    <row r="46" spans="1:9" ht="22.5" customHeight="1">
      <c r="A46" s="28">
        <v>44</v>
      </c>
      <c r="B46" s="15" t="str">
        <f>김보아!T21</f>
        <v>김보아</v>
      </c>
      <c r="C46" s="72">
        <f>김보아!T17</f>
        <v>1738670</v>
      </c>
      <c r="D46" s="7">
        <v>1738670</v>
      </c>
      <c r="E46" s="30">
        <f t="shared" si="1"/>
        <v>0</v>
      </c>
    </row>
    <row r="47" spans="1:9" ht="22.5" customHeight="1">
      <c r="A47" s="28">
        <v>45</v>
      </c>
      <c r="B47" s="15" t="str">
        <f>포브스레이멘!T21</f>
        <v>포브스레이멘</v>
      </c>
      <c r="C47" s="72">
        <f>포브스레이멘!T17</f>
        <v>2414710</v>
      </c>
      <c r="D47" s="7">
        <v>2414710</v>
      </c>
      <c r="E47" s="30">
        <f t="shared" si="1"/>
        <v>0</v>
      </c>
    </row>
    <row r="48" spans="1:9" ht="22.5" customHeight="1">
      <c r="A48" s="28">
        <v>46</v>
      </c>
      <c r="B48" s="15" t="str">
        <f>율리야!T21</f>
        <v>율리야</v>
      </c>
      <c r="C48" s="72">
        <f>율리야!T17</f>
        <v>2023580</v>
      </c>
      <c r="D48" s="7">
        <v>2023580</v>
      </c>
      <c r="E48" s="30">
        <f t="shared" si="1"/>
        <v>0</v>
      </c>
    </row>
    <row r="49" spans="1:5" ht="22.5" customHeight="1">
      <c r="A49" s="28">
        <v>47</v>
      </c>
      <c r="B49" s="15" t="str">
        <f>김미선!T21</f>
        <v>김미선</v>
      </c>
      <c r="C49" s="72">
        <f>김미선!T17</f>
        <v>1598720</v>
      </c>
      <c r="D49" s="7">
        <v>1598720</v>
      </c>
      <c r="E49" s="30">
        <f t="shared" si="1"/>
        <v>0</v>
      </c>
    </row>
    <row r="50" spans="1:5" ht="22.5" customHeight="1">
      <c r="A50" s="28">
        <v>48</v>
      </c>
      <c r="B50" s="15" t="str">
        <f>진수연!T21</f>
        <v>진수연</v>
      </c>
      <c r="C50" s="72">
        <f>진수연!T17</f>
        <v>2474590</v>
      </c>
      <c r="D50" s="7">
        <v>2474590</v>
      </c>
      <c r="E50" s="30">
        <f t="shared" si="1"/>
        <v>0</v>
      </c>
    </row>
    <row r="51" spans="1:5" ht="22.5" customHeight="1">
      <c r="A51" s="28">
        <v>49</v>
      </c>
      <c r="B51" s="15" t="str">
        <f>이방미!T21</f>
        <v>이방미</v>
      </c>
      <c r="C51" s="72">
        <f>이방미!T17</f>
        <v>1361050</v>
      </c>
      <c r="D51" s="7">
        <v>1361050</v>
      </c>
      <c r="E51" s="30">
        <f t="shared" si="1"/>
        <v>0</v>
      </c>
    </row>
    <row r="52" spans="1:5" ht="22.5" customHeight="1">
      <c r="A52" s="28">
        <v>50</v>
      </c>
      <c r="B52" s="15" t="str">
        <f>이혜영!T21</f>
        <v>이혜영</v>
      </c>
      <c r="C52" s="72">
        <f>이혜영!T17</f>
        <v>2167472.48</v>
      </c>
      <c r="D52" s="7">
        <v>2167472.48</v>
      </c>
      <c r="E52" s="30">
        <f t="shared" si="1"/>
        <v>0</v>
      </c>
    </row>
    <row r="53" spans="1:5" ht="22.5" customHeight="1">
      <c r="A53" s="28">
        <v>51</v>
      </c>
      <c r="B53" s="15" t="str">
        <f>김선미D!T21</f>
        <v>김선미</v>
      </c>
      <c r="C53" s="72">
        <f>김선미D!T17</f>
        <v>2538336.3199999998</v>
      </c>
      <c r="D53" s="7">
        <v>2538336.3199999998</v>
      </c>
      <c r="E53" s="30">
        <f t="shared" si="1"/>
        <v>0</v>
      </c>
    </row>
    <row r="54" spans="1:5" ht="22.5" customHeight="1">
      <c r="A54" s="28">
        <v>52</v>
      </c>
      <c r="B54" s="15" t="str">
        <f>오수빈!T21</f>
        <v>오수빈</v>
      </c>
      <c r="C54" s="72">
        <f>오수빈!T17</f>
        <v>143180</v>
      </c>
      <c r="D54" s="7">
        <v>143180</v>
      </c>
      <c r="E54" s="30">
        <f t="shared" si="1"/>
        <v>0</v>
      </c>
    </row>
    <row r="55" spans="1:5" ht="22.5" customHeight="1">
      <c r="A55" s="28">
        <v>53</v>
      </c>
      <c r="B55" s="15" t="str">
        <f>위파위!T21</f>
        <v>위파위</v>
      </c>
      <c r="C55" s="72">
        <f>위파위!T17</f>
        <v>61370</v>
      </c>
      <c r="D55" s="7">
        <v>61370</v>
      </c>
      <c r="E55" s="30">
        <f t="shared" si="1"/>
        <v>0</v>
      </c>
    </row>
    <row r="56" spans="1:5" ht="22.5" customHeight="1">
      <c r="A56" s="28">
        <v>54</v>
      </c>
      <c r="B56" s="15" t="str">
        <f>서미란!T21</f>
        <v>서미란</v>
      </c>
      <c r="C56" s="72">
        <f>서미란!T17</f>
        <v>81820</v>
      </c>
      <c r="D56" s="7">
        <v>81820</v>
      </c>
      <c r="E56" s="30">
        <f t="shared" si="1"/>
        <v>0</v>
      </c>
    </row>
    <row r="57" spans="1:5" ht="22.5" customHeight="1">
      <c r="A57" s="28">
        <v>55</v>
      </c>
      <c r="B57" s="15" t="str">
        <f>박소연B!T21</f>
        <v>박소연</v>
      </c>
      <c r="C57" s="72">
        <f>박소연B!T17</f>
        <v>81820</v>
      </c>
      <c r="D57" s="7">
        <v>81820</v>
      </c>
      <c r="E57" s="30">
        <f t="shared" si="1"/>
        <v>0</v>
      </c>
    </row>
    <row r="58" spans="1:5" ht="22.5" customHeight="1">
      <c r="A58" s="28">
        <v>56</v>
      </c>
      <c r="B58" s="15" t="str">
        <f>이학래!T21</f>
        <v>이학래</v>
      </c>
      <c r="C58" s="72">
        <f>이학래!T17</f>
        <v>1316780</v>
      </c>
      <c r="D58" s="7">
        <v>1316780</v>
      </c>
      <c r="E58" s="30">
        <f t="shared" si="1"/>
        <v>0</v>
      </c>
    </row>
    <row r="59" spans="1:5" ht="22.5" customHeight="1">
      <c r="A59" s="28">
        <v>57</v>
      </c>
      <c r="B59" s="15" t="str">
        <f>마리나!T21</f>
        <v>마리나</v>
      </c>
      <c r="C59" s="72">
        <f>마리나!T17</f>
        <v>827950</v>
      </c>
      <c r="D59" s="7">
        <v>827950</v>
      </c>
      <c r="E59" s="30">
        <f t="shared" si="1"/>
        <v>0</v>
      </c>
    </row>
    <row r="60" spans="1:5" ht="22.5" customHeight="1">
      <c r="A60" s="28">
        <v>58</v>
      </c>
      <c r="B60" s="15" t="str">
        <f>김명희B!T21</f>
        <v>김명희</v>
      </c>
      <c r="C60" s="72">
        <f>김명희B!T17</f>
        <v>841830</v>
      </c>
      <c r="D60" s="7">
        <v>841830</v>
      </c>
      <c r="E60" s="30">
        <f t="shared" si="1"/>
        <v>0</v>
      </c>
    </row>
    <row r="61" spans="1:5" ht="22.5" customHeight="1">
      <c r="A61" s="28">
        <v>59</v>
      </c>
      <c r="B61" s="15" t="str">
        <f>이현정C!T21</f>
        <v>이현정</v>
      </c>
      <c r="C61" s="72">
        <f>이현정C!T17</f>
        <v>1316780</v>
      </c>
      <c r="D61" s="7">
        <v>1316780</v>
      </c>
      <c r="E61" s="30">
        <f t="shared" si="1"/>
        <v>0</v>
      </c>
    </row>
    <row r="62" spans="1:5" ht="22.5" customHeight="1">
      <c r="A62" s="28">
        <v>60</v>
      </c>
      <c r="B62" s="15" t="str">
        <f>이효진!T21</f>
        <v>이효진</v>
      </c>
      <c r="C62" s="72">
        <f>이효진!T17</f>
        <v>81820</v>
      </c>
      <c r="D62" s="7">
        <v>81820</v>
      </c>
      <c r="E62" s="30">
        <f t="shared" si="1"/>
        <v>0</v>
      </c>
    </row>
    <row r="63" spans="1:5" ht="22.5" customHeight="1">
      <c r="A63" s="28">
        <v>61</v>
      </c>
      <c r="B63" s="15" t="str">
        <f>문지현!T21</f>
        <v>문지현</v>
      </c>
      <c r="C63" s="72">
        <f>문지현!T17</f>
        <v>102280</v>
      </c>
      <c r="D63" s="7">
        <v>102280</v>
      </c>
      <c r="E63" s="30">
        <f t="shared" si="1"/>
        <v>0</v>
      </c>
    </row>
    <row r="64" spans="1:5" ht="22.5" customHeight="1">
      <c r="A64" s="28">
        <v>62</v>
      </c>
      <c r="B64" s="15" t="str">
        <f>문지수!T21</f>
        <v>문지수</v>
      </c>
      <c r="C64" s="72">
        <f>문지수!T17</f>
        <v>102280</v>
      </c>
      <c r="D64" s="7">
        <v>102280</v>
      </c>
      <c r="E64" s="30">
        <f t="shared" si="1"/>
        <v>0</v>
      </c>
    </row>
    <row r="65" spans="1:9" ht="22.5" customHeight="1">
      <c r="A65" s="28">
        <v>63</v>
      </c>
      <c r="B65" s="15" t="str">
        <f>원차연!T21</f>
        <v>원차연</v>
      </c>
      <c r="C65" s="72">
        <f>원차연!T17</f>
        <v>163640</v>
      </c>
      <c r="D65" s="7">
        <v>163640</v>
      </c>
      <c r="E65" s="30">
        <f t="shared" si="1"/>
        <v>0</v>
      </c>
    </row>
    <row r="66" spans="1:9" ht="22.5" customHeight="1">
      <c r="A66" s="28">
        <v>64</v>
      </c>
      <c r="B66" s="15" t="str">
        <f>리티민홍!T21</f>
        <v>리티민홍</v>
      </c>
      <c r="C66" s="72">
        <f>리티민홍!T17</f>
        <v>245460</v>
      </c>
      <c r="D66" s="7">
        <v>245460</v>
      </c>
      <c r="E66" s="30">
        <f t="shared" si="1"/>
        <v>0</v>
      </c>
    </row>
    <row r="67" spans="1:9" ht="22.5" customHeight="1">
      <c r="A67" s="28">
        <v>65</v>
      </c>
      <c r="B67" s="15" t="str">
        <f>이주성!T21</f>
        <v>이주성</v>
      </c>
      <c r="C67" s="72">
        <f>이주성!T17</f>
        <v>81820</v>
      </c>
      <c r="D67" s="7">
        <v>81820</v>
      </c>
      <c r="E67" s="30">
        <f t="shared" si="1"/>
        <v>0</v>
      </c>
    </row>
    <row r="68" spans="1:9" ht="22.5" customHeight="1">
      <c r="A68" s="28">
        <v>66</v>
      </c>
      <c r="B68" s="15" t="str">
        <f>최보경!T21</f>
        <v>최보경</v>
      </c>
      <c r="C68" s="72">
        <f>최보경!T17</f>
        <v>81820</v>
      </c>
      <c r="D68" s="7">
        <v>81820</v>
      </c>
      <c r="E68" s="30">
        <f t="shared" si="1"/>
        <v>0</v>
      </c>
    </row>
    <row r="69" spans="1:9" ht="22.5" customHeight="1">
      <c r="A69" s="28">
        <v>67</v>
      </c>
      <c r="B69" s="15" t="str">
        <f>김유진E!T21</f>
        <v>김유진</v>
      </c>
      <c r="C69" s="72">
        <f>김유진E!T17</f>
        <v>81820</v>
      </c>
      <c r="D69" s="7">
        <v>81820</v>
      </c>
      <c r="E69" s="30">
        <f t="shared" si="1"/>
        <v>0</v>
      </c>
    </row>
    <row r="70" spans="1:9" ht="22.5" customHeight="1">
      <c r="A70" s="28">
        <v>68</v>
      </c>
      <c r="B70" s="15" t="str">
        <f>이정화!T21</f>
        <v>이정화</v>
      </c>
      <c r="C70" s="72">
        <f>이정화!T17</f>
        <v>81820</v>
      </c>
      <c r="D70" s="7">
        <v>81820</v>
      </c>
      <c r="E70" s="30">
        <f t="shared" si="1"/>
        <v>0</v>
      </c>
      <c r="G70" s="1"/>
    </row>
    <row r="71" spans="1:9" ht="22.5" customHeight="1">
      <c r="A71" s="28">
        <v>69</v>
      </c>
      <c r="B71" s="15" t="str">
        <f>최금화!T21</f>
        <v>최금화</v>
      </c>
      <c r="C71" s="72">
        <f>최금화!T17</f>
        <v>81820</v>
      </c>
      <c r="D71" s="7">
        <v>81820</v>
      </c>
      <c r="E71" s="30">
        <f t="shared" si="1"/>
        <v>0</v>
      </c>
    </row>
    <row r="72" spans="1:9" s="31" customFormat="1" ht="22.5" customHeight="1">
      <c r="A72" s="120" t="s">
        <v>19</v>
      </c>
      <c r="B72" s="120"/>
      <c r="C72" s="7">
        <f>SUM(C3:C71)</f>
        <v>88525580.679999992</v>
      </c>
      <c r="D72" s="7">
        <f>SUM(D3:D71)-1</f>
        <v>88525580.799999997</v>
      </c>
      <c r="E72" s="8">
        <f>SUM(E3:E71)+1</f>
        <v>-0.11999999964609742</v>
      </c>
      <c r="F72" s="40"/>
      <c r="G72" s="69"/>
      <c r="H72" s="69"/>
      <c r="I72"/>
    </row>
    <row r="73" spans="1:9">
      <c r="C73" s="9"/>
    </row>
    <row r="74" spans="1:9">
      <c r="C74" s="9"/>
    </row>
    <row r="75" spans="1:9">
      <c r="C75" s="9"/>
    </row>
    <row r="76" spans="1:9">
      <c r="C76" s="9"/>
    </row>
    <row r="77" spans="1:9">
      <c r="C77" s="9"/>
    </row>
    <row r="78" spans="1:9">
      <c r="C78" s="9"/>
    </row>
    <row r="179" spans="10:10">
      <c r="J179" s="70" t="s">
        <v>240</v>
      </c>
    </row>
  </sheetData>
  <mergeCells count="2">
    <mergeCell ref="A72:B72"/>
    <mergeCell ref="A1:E1"/>
  </mergeCells>
  <phoneticPr fontId="2" type="noConversion"/>
  <conditionalFormatting sqref="B4:B15">
    <cfRule type="duplicateValues" dxfId="15" priority="13"/>
  </conditionalFormatting>
  <conditionalFormatting sqref="B29">
    <cfRule type="duplicateValues" dxfId="13" priority="10"/>
  </conditionalFormatting>
  <conditionalFormatting sqref="B43:B50 B61:B62">
    <cfRule type="duplicateValues" dxfId="12" priority="256"/>
  </conditionalFormatting>
  <conditionalFormatting sqref="B51:B71">
    <cfRule type="duplicateValues" dxfId="11" priority="9"/>
  </conditionalFormatting>
  <conditionalFormatting sqref="B63:B71">
    <cfRule type="duplicateValues" dxfId="10" priority="23"/>
  </conditionalFormatting>
  <conditionalFormatting sqref="B72:B1048576 B2:B3 B16:B23 B27:B28 B30:B42 B25">
    <cfRule type="duplicateValues" dxfId="9" priority="210"/>
  </conditionalFormatting>
  <conditionalFormatting sqref="B1:B1048576">
    <cfRule type="duplicateValues" dxfId="8" priority="3"/>
  </conditionalFormatting>
  <conditionalFormatting sqref="B24">
    <cfRule type="duplicateValues" dxfId="1" priority="2"/>
  </conditionalFormatting>
  <conditionalFormatting sqref="B26">
    <cfRule type="duplicateValues" dxfId="0" priority="1"/>
  </conditionalFormatting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31"/>
  <sheetViews>
    <sheetView showGridLines="0" showZeros="0" topLeftCell="B1" zoomScale="85" zoomScaleNormal="85" workbookViewId="0">
      <selection activeCell="B12" sqref="B12:G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190</v>
      </c>
      <c r="I4" s="111"/>
      <c r="J4" s="111"/>
      <c r="K4" s="103">
        <f>H4*10320</f>
        <v>1960800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12</v>
      </c>
      <c r="I5" s="111"/>
      <c r="J5" s="111"/>
      <c r="K5" s="103">
        <f>H5*10320*1.5</f>
        <v>185760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90275.46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42</v>
      </c>
      <c r="C10" s="109"/>
      <c r="D10" s="109"/>
      <c r="E10" s="109"/>
      <c r="F10" s="109"/>
      <c r="G10" s="110"/>
      <c r="H10" s="111"/>
      <c r="I10" s="111"/>
      <c r="J10" s="111"/>
      <c r="K10" s="103">
        <f>10320*H10</f>
        <v>0</v>
      </c>
      <c r="L10" s="103"/>
      <c r="M10" s="103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5"/>
      <c r="AA10" s="5"/>
      <c r="AB10" s="5"/>
      <c r="AC10" s="5"/>
      <c r="AD10" s="1"/>
      <c r="AE10" s="1"/>
      <c r="AF10" s="1"/>
      <c r="AG10" s="1"/>
      <c r="AH10" s="1"/>
    </row>
    <row r="11" spans="2:37" ht="16.5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>
        <v>2645345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87</v>
      </c>
      <c r="C12" s="109"/>
      <c r="D12" s="109"/>
      <c r="E12" s="109"/>
      <c r="F12" s="109"/>
      <c r="G12" s="110"/>
      <c r="H12" s="103">
        <v>81700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12000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92"/>
      <c r="C16" s="93"/>
      <c r="D16" s="93"/>
      <c r="E16" s="93"/>
      <c r="F16" s="93"/>
      <c r="G16" s="94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SUM(T4:Y12)</f>
        <v>2735620.46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SUM(K4,K5,K6,K7,K8,K9,K10,H11,H12,H13,H14,H15,H16)</f>
        <v>2735620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-0.4599999999627471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88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김향숙</v>
      </c>
      <c r="C26" s="35" t="s">
        <v>107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81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81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81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 t="s">
        <v>236</v>
      </c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7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N10:S10"/>
    <mergeCell ref="T10:Y10"/>
    <mergeCell ref="B9:G9"/>
    <mergeCell ref="H10:J10"/>
    <mergeCell ref="K10:M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636" priority="4" operator="containsText" text="결근">
      <formula>NOT(ISERROR(SEARCH("결근",C24)))</formula>
    </cfRule>
    <cfRule type="containsText" dxfId="635" priority="5" operator="containsText" text="퇴사">
      <formula>NOT(ISERROR(SEARCH("퇴사",C24)))</formula>
    </cfRule>
    <cfRule type="containsText" dxfId="634" priority="6" operator="containsText" text="입사">
      <formula>NOT(ISERROR(SEARCH("입사",C24)))</formula>
    </cfRule>
  </conditionalFormatting>
  <conditionalFormatting sqref="C26:C31">
    <cfRule type="containsText" dxfId="633" priority="1" operator="containsText" text="반차">
      <formula>NOT(ISERROR(SEARCH("반차",C26)))</formula>
    </cfRule>
    <cfRule type="containsText" dxfId="632" priority="2" operator="containsText" text="휴무">
      <formula>NOT(ISERROR(SEARCH("휴무",C26)))</formula>
    </cfRule>
    <cfRule type="containsText" dxfId="631" priority="3" operator="containsText" text="연차">
      <formula>NOT(ISERROR(SEARCH("연차",C26)))</formula>
    </cfRule>
  </conditionalFormatting>
  <conditionalFormatting sqref="AI24:AJ31">
    <cfRule type="containsText" dxfId="630" priority="22" operator="containsText" text="결근">
      <formula>NOT(ISERROR(SEARCH("결근",AI24)))</formula>
    </cfRule>
    <cfRule type="containsText" dxfId="629" priority="23" operator="containsText" text="퇴사">
      <formula>NOT(ISERROR(SEARCH("퇴사",AI24)))</formula>
    </cfRule>
    <cfRule type="containsText" dxfId="628" priority="24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190</v>
      </c>
      <c r="I4" s="111"/>
      <c r="J4" s="111"/>
      <c r="K4" s="103">
        <f>H4*10320</f>
        <v>1960800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14</v>
      </c>
      <c r="I5" s="111"/>
      <c r="J5" s="111"/>
      <c r="K5" s="103">
        <f>H5*10320*1.5</f>
        <v>216720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87276.42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24</v>
      </c>
      <c r="I7" s="111"/>
      <c r="J7" s="111"/>
      <c r="K7" s="103">
        <f>H7*10320*1.5</f>
        <v>371520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42</v>
      </c>
      <c r="C10" s="109"/>
      <c r="D10" s="109"/>
      <c r="E10" s="109"/>
      <c r="F10" s="109"/>
      <c r="G10" s="110"/>
      <c r="H10" s="111"/>
      <c r="I10" s="111"/>
      <c r="J10" s="111"/>
      <c r="K10" s="103">
        <f>10320*H10</f>
        <v>0</v>
      </c>
      <c r="L10" s="103"/>
      <c r="M10" s="103"/>
      <c r="N10" s="93" t="s">
        <v>11</v>
      </c>
      <c r="O10" s="93"/>
      <c r="P10" s="93"/>
      <c r="Q10" s="93"/>
      <c r="R10" s="93"/>
      <c r="S10" s="93"/>
      <c r="T10" s="103">
        <v>1546814</v>
      </c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>
        <v>1010650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74</v>
      </c>
      <c r="C12" s="93"/>
      <c r="D12" s="93"/>
      <c r="E12" s="93"/>
      <c r="F12" s="93"/>
      <c r="G12" s="94"/>
      <c r="H12" s="103">
        <v>81700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14000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92"/>
      <c r="C16" s="93"/>
      <c r="D16" s="93"/>
      <c r="E16" s="93"/>
      <c r="F16" s="93"/>
      <c r="G16" s="94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2644740.42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SUM(K4,K5,K6,K7,K8,K9,K10,H11,H12,H13,H14,H15,H16)</f>
        <v>2644740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-0.41999999992549419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89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이영수</v>
      </c>
      <c r="C26" s="35" t="s">
        <v>215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81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14</v>
      </c>
    </row>
    <row r="28" spans="1:36" ht="16.5">
      <c r="A28" s="81"/>
      <c r="B28" s="82"/>
      <c r="C28" s="23" t="s">
        <v>216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24</v>
      </c>
    </row>
    <row r="29" spans="1:36" ht="16.5">
      <c r="A29" s="81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7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N10:S10"/>
    <mergeCell ref="T10:Y10"/>
    <mergeCell ref="B9:G9"/>
    <mergeCell ref="H10:J10"/>
    <mergeCell ref="K10:M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627" priority="4" operator="containsText" text="결근">
      <formula>NOT(ISERROR(SEARCH("결근",C24)))</formula>
    </cfRule>
    <cfRule type="containsText" dxfId="626" priority="5" operator="containsText" text="퇴사">
      <formula>NOT(ISERROR(SEARCH("퇴사",C24)))</formula>
    </cfRule>
    <cfRule type="containsText" dxfId="625" priority="6" operator="containsText" text="입사">
      <formula>NOT(ISERROR(SEARCH("입사",C24)))</formula>
    </cfRule>
  </conditionalFormatting>
  <conditionalFormatting sqref="C26:C31">
    <cfRule type="containsText" dxfId="624" priority="1" operator="containsText" text="반차">
      <formula>NOT(ISERROR(SEARCH("반차",C26)))</formula>
    </cfRule>
    <cfRule type="containsText" dxfId="623" priority="2" operator="containsText" text="휴무">
      <formula>NOT(ISERROR(SEARCH("휴무",C26)))</formula>
    </cfRule>
    <cfRule type="containsText" dxfId="622" priority="3" operator="containsText" text="연차">
      <formula>NOT(ISERROR(SEARCH("연차",C26)))</formula>
    </cfRule>
  </conditionalFormatting>
  <conditionalFormatting sqref="AI24:AJ31">
    <cfRule type="containsText" dxfId="621" priority="19" operator="containsText" text="결근">
      <formula>NOT(ISERROR(SEARCH("결근",AI24)))</formula>
    </cfRule>
    <cfRule type="containsText" dxfId="620" priority="20" operator="containsText" text="퇴사">
      <formula>NOT(ISERROR(SEARCH("퇴사",AI24)))</formula>
    </cfRule>
    <cfRule type="containsText" dxfId="619" priority="21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188</v>
      </c>
      <c r="I4" s="111"/>
      <c r="J4" s="111"/>
      <c r="K4" s="103">
        <f>H4*10320</f>
        <v>1940160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10</v>
      </c>
      <c r="I5" s="111"/>
      <c r="J5" s="111"/>
      <c r="K5" s="103">
        <f>H5*10320*1.5</f>
        <v>154800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80304.84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16</v>
      </c>
      <c r="I7" s="111"/>
      <c r="J7" s="111"/>
      <c r="K7" s="103">
        <f>H7*10320*1.5</f>
        <v>247680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42</v>
      </c>
      <c r="C10" s="109"/>
      <c r="D10" s="109"/>
      <c r="E10" s="109"/>
      <c r="F10" s="109"/>
      <c r="G10" s="110"/>
      <c r="H10" s="111"/>
      <c r="I10" s="111"/>
      <c r="J10" s="111"/>
      <c r="K10" s="103">
        <f>10320*H10</f>
        <v>0</v>
      </c>
      <c r="L10" s="103"/>
      <c r="M10" s="103"/>
      <c r="N10" s="93" t="s">
        <v>11</v>
      </c>
      <c r="O10" s="93"/>
      <c r="P10" s="93"/>
      <c r="Q10" s="93"/>
      <c r="R10" s="93"/>
      <c r="S10" s="93"/>
      <c r="T10" s="103">
        <v>1387143</v>
      </c>
      <c r="U10" s="103"/>
      <c r="V10" s="103"/>
      <c r="W10" s="103"/>
      <c r="X10" s="103"/>
      <c r="Y10" s="104"/>
      <c r="Z10" s="5"/>
      <c r="AA10" s="5"/>
      <c r="AB10" s="5"/>
      <c r="AC10" s="5"/>
      <c r="AD10" s="1"/>
      <c r="AE10" s="1"/>
      <c r="AF10" s="1"/>
      <c r="AG10" s="1"/>
      <c r="AH10" s="1"/>
    </row>
    <row r="11" spans="2:37" ht="16.5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>
        <v>966032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>
        <v>80840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10000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 customHeight="1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SUM(T4:Y12)</f>
        <v>2433479.84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SUM(K4,K5,K6,K7,K8,K9,K10,H11,H12,H13,H14,H15,H16)</f>
        <v>2433480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0.16000000014901161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90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51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이미영</v>
      </c>
      <c r="C26" s="35" t="s">
        <v>118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6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188</v>
      </c>
    </row>
    <row r="27" spans="1:36" ht="16.5">
      <c r="A27" s="81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81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16</v>
      </c>
    </row>
    <row r="29" spans="1:36" ht="16.5">
      <c r="A29" s="81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 t="s">
        <v>237</v>
      </c>
      <c r="P31" s="151" t="s">
        <v>236</v>
      </c>
      <c r="Q31" s="57"/>
      <c r="R31" s="68"/>
      <c r="S31" s="68"/>
      <c r="T31" s="68" t="s">
        <v>296</v>
      </c>
      <c r="U31" s="68"/>
      <c r="V31" s="151" t="s">
        <v>236</v>
      </c>
      <c r="W31" s="151" t="s">
        <v>236</v>
      </c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7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N10:S10"/>
    <mergeCell ref="T10:Y10"/>
    <mergeCell ref="B9:G9"/>
    <mergeCell ref="H10:J10"/>
    <mergeCell ref="K10:M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618" priority="4" operator="containsText" text="결근">
      <formula>NOT(ISERROR(SEARCH("결근",C24)))</formula>
    </cfRule>
    <cfRule type="containsText" dxfId="617" priority="5" operator="containsText" text="퇴사">
      <formula>NOT(ISERROR(SEARCH("퇴사",C24)))</formula>
    </cfRule>
    <cfRule type="containsText" dxfId="616" priority="6" operator="containsText" text="입사">
      <formula>NOT(ISERROR(SEARCH("입사",C24)))</formula>
    </cfRule>
  </conditionalFormatting>
  <conditionalFormatting sqref="C26:C31">
    <cfRule type="containsText" dxfId="615" priority="1" operator="containsText" text="반차">
      <formula>NOT(ISERROR(SEARCH("반차",C26)))</formula>
    </cfRule>
    <cfRule type="containsText" dxfId="614" priority="2" operator="containsText" text="휴무">
      <formula>NOT(ISERROR(SEARCH("휴무",C26)))</formula>
    </cfRule>
    <cfRule type="containsText" dxfId="613" priority="3" operator="containsText" text="연차">
      <formula>NOT(ISERROR(SEARCH("연차",C26)))</formula>
    </cfRule>
  </conditionalFormatting>
  <conditionalFormatting sqref="AI24:AJ31">
    <cfRule type="containsText" dxfId="612" priority="19" operator="containsText" text="결근">
      <formula>NOT(ISERROR(SEARCH("결근",AI24)))</formula>
    </cfRule>
    <cfRule type="containsText" dxfId="611" priority="20" operator="containsText" text="퇴사">
      <formula>NOT(ISERROR(SEARCH("퇴사",AI24)))</formula>
    </cfRule>
    <cfRule type="containsText" dxfId="610" priority="21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64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190</v>
      </c>
      <c r="I4" s="111"/>
      <c r="J4" s="111"/>
      <c r="K4" s="103">
        <f>H4*10320</f>
        <v>1960800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4</v>
      </c>
      <c r="I5" s="111"/>
      <c r="J5" s="111"/>
      <c r="K5" s="103">
        <f>H5*10320*1.5</f>
        <v>61920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69577.86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0</v>
      </c>
      <c r="I7" s="111"/>
      <c r="J7" s="111"/>
      <c r="K7" s="103">
        <f>H7*10320*1.5</f>
        <v>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42</v>
      </c>
      <c r="C10" s="109"/>
      <c r="D10" s="109"/>
      <c r="E10" s="109"/>
      <c r="F10" s="109"/>
      <c r="G10" s="110"/>
      <c r="H10" s="111"/>
      <c r="I10" s="111"/>
      <c r="J10" s="111"/>
      <c r="K10" s="103">
        <f>10320*H10</f>
        <v>0</v>
      </c>
      <c r="L10" s="103"/>
      <c r="M10" s="103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70</v>
      </c>
      <c r="O11" s="93"/>
      <c r="P11" s="93"/>
      <c r="Q11" s="93"/>
      <c r="R11" s="93"/>
      <c r="S11" s="93"/>
      <c r="T11" s="95">
        <v>2038842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80</v>
      </c>
      <c r="C12" s="93"/>
      <c r="D12" s="93"/>
      <c r="E12" s="93"/>
      <c r="F12" s="93"/>
      <c r="G12" s="94"/>
      <c r="H12" s="103">
        <v>81700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4000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92"/>
      <c r="C16" s="93"/>
      <c r="D16" s="93"/>
      <c r="E16" s="93"/>
      <c r="F16" s="93"/>
      <c r="G16" s="94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2108419.86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SUM(K4,K5,K6,K7,K8,K9,K10,H11,H12,H13,H14,H15,H16)</f>
        <v>2108420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0.14000000013038516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217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57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윤선희</v>
      </c>
      <c r="C26" s="35" t="s">
        <v>118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81"/>
      <c r="B27" s="82"/>
      <c r="C27" s="23" t="s">
        <v>108</v>
      </c>
      <c r="D27" s="64"/>
      <c r="E27" s="150"/>
      <c r="F27" s="150"/>
      <c r="G27" s="150">
        <v>2</v>
      </c>
      <c r="H27" s="150"/>
      <c r="I27" s="150"/>
      <c r="J27" s="56"/>
      <c r="K27" s="67"/>
      <c r="L27" s="150"/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4</v>
      </c>
    </row>
    <row r="28" spans="1:36" ht="16.5">
      <c r="A28" s="81"/>
      <c r="B28" s="82"/>
      <c r="C28" s="23" t="s">
        <v>207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81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208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 t="s">
        <v>236</v>
      </c>
      <c r="W31" s="151" t="s">
        <v>236</v>
      </c>
      <c r="X31" s="57"/>
      <c r="Y31" s="68"/>
      <c r="Z31" s="151" t="s">
        <v>236</v>
      </c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7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N10:S10"/>
    <mergeCell ref="T10:Y10"/>
    <mergeCell ref="B9:G9"/>
    <mergeCell ref="H10:J10"/>
    <mergeCell ref="K10:M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600" priority="4" operator="containsText" text="결근">
      <formula>NOT(ISERROR(SEARCH("결근",C24)))</formula>
    </cfRule>
    <cfRule type="containsText" dxfId="599" priority="5" operator="containsText" text="퇴사">
      <formula>NOT(ISERROR(SEARCH("퇴사",C24)))</formula>
    </cfRule>
    <cfRule type="containsText" dxfId="598" priority="6" operator="containsText" text="입사">
      <formula>NOT(ISERROR(SEARCH("입사",C24)))</formula>
    </cfRule>
  </conditionalFormatting>
  <conditionalFormatting sqref="C26:C31">
    <cfRule type="containsText" dxfId="597" priority="1" operator="containsText" text="반차">
      <formula>NOT(ISERROR(SEARCH("반차",C26)))</formula>
    </cfRule>
    <cfRule type="containsText" dxfId="596" priority="2" operator="containsText" text="휴무">
      <formula>NOT(ISERROR(SEARCH("휴무",C26)))</formula>
    </cfRule>
    <cfRule type="containsText" dxfId="595" priority="3" operator="containsText" text="연차">
      <formula>NOT(ISERROR(SEARCH("연차",C26)))</formula>
    </cfRule>
  </conditionalFormatting>
  <conditionalFormatting sqref="AI24:AJ31">
    <cfRule type="containsText" dxfId="594" priority="35" operator="containsText" text="결근">
      <formula>NOT(ISERROR(SEARCH("결근",AI24)))</formula>
    </cfRule>
    <cfRule type="containsText" dxfId="593" priority="36" operator="containsText" text="퇴사">
      <formula>NOT(ISERROR(SEARCH("퇴사",AI24)))</formula>
    </cfRule>
    <cfRule type="containsText" dxfId="592" priority="37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144</v>
      </c>
      <c r="I4" s="111"/>
      <c r="J4" s="111"/>
      <c r="K4" s="103">
        <f>H4*10320</f>
        <v>1486080</v>
      </c>
      <c r="L4" s="103"/>
      <c r="M4" s="103"/>
      <c r="N4" s="94" t="s">
        <v>298</v>
      </c>
      <c r="O4" s="109"/>
      <c r="P4" s="109"/>
      <c r="Q4" s="109"/>
      <c r="R4" s="109"/>
      <c r="S4" s="110"/>
      <c r="T4" s="95">
        <f>ROUNDDOWN(((H17/7)-150000)*2.7%,-1)*7</f>
        <v>24570</v>
      </c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10</v>
      </c>
      <c r="I5" s="111"/>
      <c r="J5" s="111"/>
      <c r="K5" s="103">
        <f>H5*10320*1.5</f>
        <v>154800</v>
      </c>
      <c r="L5" s="103"/>
      <c r="M5" s="103"/>
      <c r="N5" s="94" t="s">
        <v>299</v>
      </c>
      <c r="O5" s="109"/>
      <c r="P5" s="109"/>
      <c r="Q5" s="109"/>
      <c r="R5" s="109"/>
      <c r="S5" s="110"/>
      <c r="T5" s="95">
        <f>ROUNDDOWN(T4*10%,-1)</f>
        <v>2450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16</v>
      </c>
      <c r="I7" s="111"/>
      <c r="J7" s="111"/>
      <c r="K7" s="103">
        <f>H7*10320*1.5</f>
        <v>247680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17640</v>
      </c>
      <c r="U9" s="96"/>
      <c r="V9" s="96"/>
      <c r="W9" s="96"/>
      <c r="X9" s="96"/>
      <c r="Y9" s="98"/>
      <c r="AK9" s="5"/>
    </row>
    <row r="10" spans="2:37" ht="16.5" customHeight="1">
      <c r="B10" s="108" t="s">
        <v>42</v>
      </c>
      <c r="C10" s="109"/>
      <c r="D10" s="109"/>
      <c r="E10" s="109"/>
      <c r="F10" s="109"/>
      <c r="G10" s="110"/>
      <c r="H10" s="111"/>
      <c r="I10" s="111"/>
      <c r="J10" s="111"/>
      <c r="K10" s="103">
        <f>10320*H10</f>
        <v>0</v>
      </c>
      <c r="L10" s="103"/>
      <c r="M10" s="103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>
        <v>1915820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>
        <v>61920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247</v>
      </c>
      <c r="C13" s="93"/>
      <c r="D13" s="93"/>
      <c r="E13" s="93"/>
      <c r="F13" s="93"/>
      <c r="G13" s="94"/>
      <c r="H13" s="95">
        <v>10000</v>
      </c>
      <c r="I13" s="96"/>
      <c r="J13" s="96"/>
      <c r="K13" s="96"/>
      <c r="L13" s="96"/>
      <c r="M13" s="97"/>
      <c r="N13" s="93"/>
      <c r="O13" s="93"/>
      <c r="P13" s="93"/>
      <c r="Q13" s="93"/>
      <c r="R13" s="93"/>
      <c r="S13" s="93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 customHeight="1">
      <c r="B15" s="92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7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1960480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SUM(K4,K5,K6,K7,K8,K9,K10,H11,H12,H13,H14,H15,H16)</f>
        <v>1960480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0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223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58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또아</v>
      </c>
      <c r="C26" s="35" t="s">
        <v>209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/>
      <c r="M26" s="149"/>
      <c r="N26" s="149"/>
      <c r="O26" s="149"/>
      <c r="P26" s="149"/>
      <c r="Q26" s="55"/>
      <c r="R26" s="66"/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144</v>
      </c>
    </row>
    <row r="27" spans="1:36" ht="16.5">
      <c r="A27" s="81"/>
      <c r="B27" s="82"/>
      <c r="C27" s="23" t="s">
        <v>210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81"/>
      <c r="B28" s="82"/>
      <c r="C28" s="23" t="s">
        <v>211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16</v>
      </c>
    </row>
    <row r="29" spans="1:36" ht="16.5">
      <c r="A29" s="81"/>
      <c r="B29" s="82"/>
      <c r="C29" s="23" t="s">
        <v>212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213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214</v>
      </c>
      <c r="D31" s="65"/>
      <c r="E31" s="151"/>
      <c r="F31" s="151"/>
      <c r="G31" s="151"/>
      <c r="H31" s="151"/>
      <c r="I31" s="151"/>
      <c r="J31" s="57"/>
      <c r="K31" s="68"/>
      <c r="L31" s="151" t="s">
        <v>238</v>
      </c>
      <c r="M31" s="151" t="s">
        <v>238</v>
      </c>
      <c r="N31" s="151" t="s">
        <v>238</v>
      </c>
      <c r="O31" s="151" t="s">
        <v>238</v>
      </c>
      <c r="P31" s="151" t="s">
        <v>238</v>
      </c>
      <c r="Q31" s="57"/>
      <c r="R31" s="68"/>
      <c r="S31" s="68"/>
      <c r="T31" s="68" t="s">
        <v>296</v>
      </c>
      <c r="U31" s="68"/>
      <c r="V31" s="151" t="s">
        <v>236</v>
      </c>
      <c r="W31" s="151" t="s">
        <v>236</v>
      </c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N10:S10"/>
    <mergeCell ref="T10:Y10"/>
    <mergeCell ref="B9:G9"/>
    <mergeCell ref="H10:J10"/>
    <mergeCell ref="K10:M10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609" priority="4" operator="containsText" text="결근">
      <formula>NOT(ISERROR(SEARCH("결근",C24)))</formula>
    </cfRule>
    <cfRule type="containsText" dxfId="608" priority="5" operator="containsText" text="퇴사">
      <formula>NOT(ISERROR(SEARCH("퇴사",C24)))</formula>
    </cfRule>
    <cfRule type="containsText" dxfId="607" priority="6" operator="containsText" text="입사">
      <formula>NOT(ISERROR(SEARCH("입사",C24)))</formula>
    </cfRule>
  </conditionalFormatting>
  <conditionalFormatting sqref="C26:C31">
    <cfRule type="containsText" dxfId="606" priority="1" operator="containsText" text="반차">
      <formula>NOT(ISERROR(SEARCH("반차",C26)))</formula>
    </cfRule>
    <cfRule type="containsText" dxfId="605" priority="2" operator="containsText" text="휴무">
      <formula>NOT(ISERROR(SEARCH("휴무",C26)))</formula>
    </cfRule>
    <cfRule type="containsText" dxfId="604" priority="3" operator="containsText" text="연차">
      <formula>NOT(ISERROR(SEARCH("연차",C26)))</formula>
    </cfRule>
  </conditionalFormatting>
  <conditionalFormatting sqref="AI24:AJ31">
    <cfRule type="containsText" dxfId="603" priority="22" operator="containsText" text="결근">
      <formula>NOT(ISERROR(SEARCH("결근",AI24)))</formula>
    </cfRule>
    <cfRule type="containsText" dxfId="602" priority="23" operator="containsText" text="퇴사">
      <formula>NOT(ISERROR(SEARCH("퇴사",AI24)))</formula>
    </cfRule>
    <cfRule type="containsText" dxfId="601" priority="24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192</v>
      </c>
      <c r="I4" s="111"/>
      <c r="J4" s="111"/>
      <c r="K4" s="103">
        <f>H4*10320</f>
        <v>1981440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17</v>
      </c>
      <c r="I5" s="111"/>
      <c r="J5" s="111"/>
      <c r="K5" s="103">
        <f>H5*10320*1.5</f>
        <v>263160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96395.64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42</v>
      </c>
      <c r="C10" s="109"/>
      <c r="D10" s="109"/>
      <c r="E10" s="109"/>
      <c r="F10" s="109"/>
      <c r="G10" s="110"/>
      <c r="H10" s="111"/>
      <c r="I10" s="111"/>
      <c r="J10" s="111"/>
      <c r="K10" s="103">
        <f>10320*H10</f>
        <v>0</v>
      </c>
      <c r="L10" s="103"/>
      <c r="M10" s="103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70</v>
      </c>
      <c r="O11" s="93"/>
      <c r="P11" s="93"/>
      <c r="Q11" s="93"/>
      <c r="R11" s="93"/>
      <c r="S11" s="93"/>
      <c r="T11" s="95">
        <v>2824684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86</v>
      </c>
      <c r="C12" s="93"/>
      <c r="D12" s="93"/>
      <c r="E12" s="93"/>
      <c r="F12" s="93"/>
      <c r="G12" s="94"/>
      <c r="H12" s="103">
        <v>165120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254</v>
      </c>
      <c r="C13" s="93"/>
      <c r="D13" s="93"/>
      <c r="E13" s="93"/>
      <c r="F13" s="93"/>
      <c r="G13" s="94"/>
      <c r="H13" s="95">
        <v>16000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2921079.64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SUM(K4,K5,K6,K7,K8,K9,K10,H11,H12,H13,H14,H15,H16)</f>
        <v>2921080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0.35999999986961484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37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91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58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김봉화</v>
      </c>
      <c r="C26" s="35" t="s">
        <v>137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192</v>
      </c>
    </row>
    <row r="27" spans="1:36" ht="16.5">
      <c r="A27" s="81"/>
      <c r="B27" s="82"/>
      <c r="C27" s="23" t="s">
        <v>138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>
        <v>1</v>
      </c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17</v>
      </c>
    </row>
    <row r="28" spans="1:36" ht="16.5">
      <c r="A28" s="81"/>
      <c r="B28" s="82"/>
      <c r="C28" s="23" t="s">
        <v>139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81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N10:S10"/>
    <mergeCell ref="T10:Y10"/>
    <mergeCell ref="B9:G9"/>
    <mergeCell ref="H10:J10"/>
    <mergeCell ref="K10:M10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591" priority="4" operator="containsText" text="결근">
      <formula>NOT(ISERROR(SEARCH("결근",C24)))</formula>
    </cfRule>
    <cfRule type="containsText" dxfId="590" priority="5" operator="containsText" text="퇴사">
      <formula>NOT(ISERROR(SEARCH("퇴사",C24)))</formula>
    </cfRule>
    <cfRule type="containsText" dxfId="589" priority="6" operator="containsText" text="입사">
      <formula>NOT(ISERROR(SEARCH("입사",C24)))</formula>
    </cfRule>
  </conditionalFormatting>
  <conditionalFormatting sqref="C26:C31">
    <cfRule type="containsText" dxfId="588" priority="1" operator="containsText" text="반차">
      <formula>NOT(ISERROR(SEARCH("반차",C26)))</formula>
    </cfRule>
    <cfRule type="containsText" dxfId="587" priority="2" operator="containsText" text="휴무">
      <formula>NOT(ISERROR(SEARCH("휴무",C26)))</formula>
    </cfRule>
    <cfRule type="containsText" dxfId="586" priority="3" operator="containsText" text="연차">
      <formula>NOT(ISERROR(SEARCH("연차",C26)))</formula>
    </cfRule>
  </conditionalFormatting>
  <conditionalFormatting sqref="AI24:AJ31">
    <cfRule type="containsText" dxfId="585" priority="24" operator="containsText" text="결근">
      <formula>NOT(ISERROR(SEARCH("결근",AI24)))</formula>
    </cfRule>
    <cfRule type="containsText" dxfId="584" priority="25" operator="containsText" text="퇴사">
      <formula>NOT(ISERROR(SEARCH("퇴사",AI24)))</formula>
    </cfRule>
    <cfRule type="containsText" dxfId="583" priority="26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190</v>
      </c>
      <c r="I4" s="111"/>
      <c r="J4" s="111"/>
      <c r="K4" s="103">
        <f>H4*10320</f>
        <v>1960800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12</v>
      </c>
      <c r="I5" s="111"/>
      <c r="J5" s="111"/>
      <c r="K5" s="103">
        <f>H5*10320*1.5</f>
        <v>185760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90275.46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42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>
        <v>1516876</v>
      </c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>
        <v>1128469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80</v>
      </c>
      <c r="C12" s="93"/>
      <c r="D12" s="93"/>
      <c r="E12" s="93"/>
      <c r="F12" s="93"/>
      <c r="G12" s="94"/>
      <c r="H12" s="103">
        <v>81700</v>
      </c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12000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2735620.46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2735620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-0.4599999999627471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37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57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이윤진</v>
      </c>
      <c r="C26" s="35" t="s">
        <v>137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81"/>
      <c r="B27" s="82"/>
      <c r="C27" s="23" t="s">
        <v>138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81"/>
      <c r="B28" s="82"/>
      <c r="C28" s="23" t="s">
        <v>139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81"/>
      <c r="B29" s="82"/>
      <c r="C29" s="23" t="s">
        <v>260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141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142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582" priority="4" operator="containsText" text="결근">
      <formula>NOT(ISERROR(SEARCH("결근",C24)))</formula>
    </cfRule>
    <cfRule type="containsText" dxfId="581" priority="5" operator="containsText" text="퇴사">
      <formula>NOT(ISERROR(SEARCH("퇴사",C24)))</formula>
    </cfRule>
    <cfRule type="containsText" dxfId="580" priority="6" operator="containsText" text="입사">
      <formula>NOT(ISERROR(SEARCH("입사",C24)))</formula>
    </cfRule>
  </conditionalFormatting>
  <conditionalFormatting sqref="C26:C31">
    <cfRule type="containsText" dxfId="579" priority="1" operator="containsText" text="반차">
      <formula>NOT(ISERROR(SEARCH("반차",C26)))</formula>
    </cfRule>
    <cfRule type="containsText" dxfId="578" priority="2" operator="containsText" text="휴무">
      <formula>NOT(ISERROR(SEARCH("휴무",C26)))</formula>
    </cfRule>
    <cfRule type="containsText" dxfId="577" priority="3" operator="containsText" text="연차">
      <formula>NOT(ISERROR(SEARCH("연차",C26)))</formula>
    </cfRule>
  </conditionalFormatting>
  <conditionalFormatting sqref="AI24:AJ31">
    <cfRule type="containsText" dxfId="576" priority="37" operator="containsText" text="결근">
      <formula>NOT(ISERROR(SEARCH("결근",AI24)))</formula>
    </cfRule>
    <cfRule type="containsText" dxfId="575" priority="38" operator="containsText" text="퇴사">
      <formula>NOT(ISERROR(SEARCH("퇴사",AI24)))</formula>
    </cfRule>
    <cfRule type="containsText" dxfId="574" priority="3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8" width="3.75" style="1" customWidth="1"/>
    <col min="39" max="39" width="10.875" style="1" bestFit="1" customWidth="1"/>
    <col min="40" max="40" width="8.375" style="1" bestFit="1" customWidth="1"/>
    <col min="41" max="63" width="3.25" style="1" customWidth="1"/>
    <col min="64" max="66" width="2.125" style="1" customWidth="1"/>
    <col min="67" max="16384" width="3.625" style="1"/>
  </cols>
  <sheetData>
    <row r="1" spans="2:40" ht="16.5" customHeight="1">
      <c r="B1" s="115" t="s">
        <v>64</v>
      </c>
      <c r="C1" s="115"/>
      <c r="D1" s="115"/>
      <c r="E1" s="115"/>
      <c r="F1" s="115"/>
      <c r="G1" s="115"/>
    </row>
    <row r="2" spans="2:40" ht="17.25" customHeight="1" thickBot="1">
      <c r="B2" s="116"/>
      <c r="C2" s="116"/>
      <c r="D2" s="116"/>
      <c r="E2" s="116"/>
      <c r="F2" s="116"/>
      <c r="G2" s="116"/>
    </row>
    <row r="3" spans="2:40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40" ht="16.5" customHeight="1">
      <c r="B4" s="108" t="s">
        <v>2</v>
      </c>
      <c r="C4" s="109"/>
      <c r="D4" s="109"/>
      <c r="E4" s="109"/>
      <c r="F4" s="109"/>
      <c r="G4" s="110"/>
      <c r="H4" s="112">
        <f>AJ26</f>
        <v>192</v>
      </c>
      <c r="I4" s="113"/>
      <c r="J4" s="114"/>
      <c r="K4" s="95">
        <f>H4*10320</f>
        <v>1981440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  <c r="AF4" s="11"/>
      <c r="AM4" s="11"/>
      <c r="AN4" s="12"/>
    </row>
    <row r="5" spans="2:40" ht="16.5" customHeight="1">
      <c r="B5" s="108" t="s">
        <v>4</v>
      </c>
      <c r="C5" s="109"/>
      <c r="D5" s="109"/>
      <c r="E5" s="109"/>
      <c r="F5" s="109"/>
      <c r="G5" s="110"/>
      <c r="H5" s="112">
        <f>AJ27</f>
        <v>16</v>
      </c>
      <c r="I5" s="113"/>
      <c r="J5" s="114"/>
      <c r="K5" s="95">
        <f>H5*10320*1.5</f>
        <v>247680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93160.320000000007</v>
      </c>
      <c r="U5" s="96"/>
      <c r="V5" s="96"/>
      <c r="W5" s="96"/>
      <c r="X5" s="96"/>
      <c r="Y5" s="98"/>
      <c r="AM5" s="12"/>
      <c r="AN5" s="12"/>
    </row>
    <row r="6" spans="2:40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  <c r="AM6" s="12"/>
      <c r="AN6" s="12"/>
    </row>
    <row r="7" spans="2:40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  <c r="AM7" s="12"/>
      <c r="AN7" s="12"/>
    </row>
    <row r="8" spans="2:40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  <c r="AM8" s="12"/>
      <c r="AN8" s="12"/>
    </row>
    <row r="9" spans="2:40" ht="16.5" customHeight="1">
      <c r="B9" s="108" t="s">
        <v>42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  <c r="AM9" s="12"/>
      <c r="AN9" s="12"/>
    </row>
    <row r="10" spans="2:40" ht="16.5" customHeight="1">
      <c r="B10" s="108" t="s">
        <v>27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2"/>
      <c r="AA10" s="2"/>
    </row>
    <row r="11" spans="2:40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69</v>
      </c>
      <c r="O11" s="109"/>
      <c r="P11" s="109"/>
      <c r="Q11" s="109"/>
      <c r="R11" s="109"/>
      <c r="S11" s="110"/>
      <c r="T11" s="95">
        <v>2729880</v>
      </c>
      <c r="U11" s="96"/>
      <c r="V11" s="96"/>
      <c r="W11" s="96"/>
      <c r="X11" s="96"/>
      <c r="Y11" s="98"/>
      <c r="Z11" s="2"/>
      <c r="AA11" s="2"/>
    </row>
    <row r="12" spans="2:40" ht="16.5" customHeight="1">
      <c r="B12" s="92" t="s">
        <v>80</v>
      </c>
      <c r="C12" s="93"/>
      <c r="D12" s="93"/>
      <c r="E12" s="93"/>
      <c r="F12" s="93"/>
      <c r="G12" s="94"/>
      <c r="H12" s="103">
        <v>82560</v>
      </c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40" ht="16.5" customHeight="1">
      <c r="B13" s="92" t="s">
        <v>247</v>
      </c>
      <c r="C13" s="93"/>
      <c r="D13" s="93"/>
      <c r="E13" s="93"/>
      <c r="F13" s="93"/>
      <c r="G13" s="94"/>
      <c r="H13" s="95">
        <v>16000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40" ht="16.5" customHeight="1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40" ht="16.5">
      <c r="B15" s="92"/>
      <c r="C15" s="93"/>
      <c r="D15" s="93"/>
      <c r="E15" s="93"/>
      <c r="F15" s="93"/>
      <c r="G15" s="94"/>
      <c r="H15" s="103"/>
      <c r="I15" s="103"/>
      <c r="J15" s="103"/>
      <c r="K15" s="103"/>
      <c r="L15" s="103"/>
      <c r="M15" s="103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40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2" t="s">
        <v>12</v>
      </c>
      <c r="O16" s="127"/>
      <c r="P16" s="127"/>
      <c r="Q16" s="127"/>
      <c r="R16" s="127"/>
      <c r="S16" s="128"/>
      <c r="T16" s="95">
        <f>SUM(T4:Y11)</f>
        <v>2823040.32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2823040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-0.31999999983236194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37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72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이윤영</v>
      </c>
      <c r="C26" s="35" t="s">
        <v>201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192</v>
      </c>
    </row>
    <row r="27" spans="1:36" ht="16.5">
      <c r="A27" s="139"/>
      <c r="B27" s="82"/>
      <c r="C27" s="23" t="s">
        <v>202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16</v>
      </c>
    </row>
    <row r="28" spans="1:36" ht="16.5">
      <c r="A28" s="139"/>
      <c r="B28" s="82"/>
      <c r="C28" s="23" t="s">
        <v>203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204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205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206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573" priority="4" operator="containsText" text="결근">
      <formula>NOT(ISERROR(SEARCH("결근",C24)))</formula>
    </cfRule>
    <cfRule type="containsText" dxfId="572" priority="5" operator="containsText" text="퇴사">
      <formula>NOT(ISERROR(SEARCH("퇴사",C24)))</formula>
    </cfRule>
    <cfRule type="containsText" dxfId="571" priority="6" operator="containsText" text="입사">
      <formula>NOT(ISERROR(SEARCH("입사",C24)))</formula>
    </cfRule>
  </conditionalFormatting>
  <conditionalFormatting sqref="C26:C31">
    <cfRule type="containsText" dxfId="570" priority="1" operator="containsText" text="반차">
      <formula>NOT(ISERROR(SEARCH("반차",C26)))</formula>
    </cfRule>
    <cfRule type="containsText" dxfId="569" priority="2" operator="containsText" text="휴무">
      <formula>NOT(ISERROR(SEARCH("휴무",C26)))</formula>
    </cfRule>
    <cfRule type="containsText" dxfId="568" priority="3" operator="containsText" text="연차">
      <formula>NOT(ISERROR(SEARCH("연차",C26)))</formula>
    </cfRule>
  </conditionalFormatting>
  <conditionalFormatting sqref="AI24:AJ31">
    <cfRule type="containsText" dxfId="567" priority="24" operator="containsText" text="결근">
      <formula>NOT(ISERROR(SEARCH("결근",AI24)))</formula>
    </cfRule>
    <cfRule type="containsText" dxfId="566" priority="25" operator="containsText" text="퇴사">
      <formula>NOT(ISERROR(SEARCH("퇴사",AI24)))</formula>
    </cfRule>
    <cfRule type="containsText" dxfId="565" priority="26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174</v>
      </c>
      <c r="I4" s="111"/>
      <c r="J4" s="111"/>
      <c r="K4" s="103">
        <f>H4*10320</f>
        <v>1795680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12</v>
      </c>
      <c r="I5" s="111"/>
      <c r="J5" s="111"/>
      <c r="K5" s="103">
        <f>H5*10320*1.5</f>
        <v>185760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80512.740000000005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24</v>
      </c>
      <c r="I7" s="111"/>
      <c r="J7" s="111"/>
      <c r="K7" s="103">
        <f>H7*10320*1.5</f>
        <v>371520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71</v>
      </c>
      <c r="O11" s="109"/>
      <c r="P11" s="109"/>
      <c r="Q11" s="109"/>
      <c r="R11" s="109"/>
      <c r="S11" s="110"/>
      <c r="T11" s="95">
        <v>2359267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>
        <v>74820</v>
      </c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92" t="s">
        <v>255</v>
      </c>
      <c r="C13" s="93"/>
      <c r="D13" s="93"/>
      <c r="E13" s="93"/>
      <c r="F13" s="93"/>
      <c r="G13" s="94"/>
      <c r="H13" s="95">
        <v>12000</v>
      </c>
      <c r="I13" s="96"/>
      <c r="J13" s="96"/>
      <c r="K13" s="96"/>
      <c r="L13" s="96"/>
      <c r="M13" s="97"/>
      <c r="N13" s="93"/>
      <c r="O13" s="93"/>
      <c r="P13" s="93"/>
      <c r="Q13" s="93"/>
      <c r="R13" s="93"/>
      <c r="S13" s="93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0"/>
      <c r="C15" s="101"/>
      <c r="D15" s="101"/>
      <c r="E15" s="101"/>
      <c r="F15" s="101"/>
      <c r="G15" s="102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2439779.7400000002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2439780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0.25999999977648258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56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김성실</v>
      </c>
      <c r="C26" s="35" t="s">
        <v>113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/>
      <c r="AD26" s="149"/>
      <c r="AE26" s="58"/>
      <c r="AF26" s="149"/>
      <c r="AG26" s="149"/>
      <c r="AH26" s="155"/>
      <c r="AI26" s="46"/>
      <c r="AJ26" s="18">
        <f>SUM(D26:AI26)</f>
        <v>174</v>
      </c>
    </row>
    <row r="27" spans="1:36" ht="16.5">
      <c r="A27" s="81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81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24</v>
      </c>
    </row>
    <row r="29" spans="1:36" ht="16.5">
      <c r="A29" s="81"/>
      <c r="B29" s="82"/>
      <c r="C29" s="23" t="s">
        <v>199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200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 t="s">
        <v>239</v>
      </c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564" priority="4" operator="containsText" text="결근">
      <formula>NOT(ISERROR(SEARCH("결근",C24)))</formula>
    </cfRule>
    <cfRule type="containsText" dxfId="563" priority="5" operator="containsText" text="퇴사">
      <formula>NOT(ISERROR(SEARCH("퇴사",C24)))</formula>
    </cfRule>
    <cfRule type="containsText" dxfId="562" priority="6" operator="containsText" text="입사">
      <formula>NOT(ISERROR(SEARCH("입사",C24)))</formula>
    </cfRule>
  </conditionalFormatting>
  <conditionalFormatting sqref="C26:C31">
    <cfRule type="containsText" dxfId="561" priority="1" operator="containsText" text="반차">
      <formula>NOT(ISERROR(SEARCH("반차",C26)))</formula>
    </cfRule>
    <cfRule type="containsText" dxfId="560" priority="2" operator="containsText" text="휴무">
      <formula>NOT(ISERROR(SEARCH("휴무",C26)))</formula>
    </cfRule>
    <cfRule type="containsText" dxfId="559" priority="3" operator="containsText" text="연차">
      <formula>NOT(ISERROR(SEARCH("연차",C26)))</formula>
    </cfRule>
  </conditionalFormatting>
  <conditionalFormatting sqref="AI24:AJ31">
    <cfRule type="containsText" dxfId="558" priority="26" operator="containsText" text="결근">
      <formula>NOT(ISERROR(SEARCH("결근",AI24)))</formula>
    </cfRule>
    <cfRule type="containsText" dxfId="557" priority="27" operator="containsText" text="퇴사">
      <formula>NOT(ISERROR(SEARCH("퇴사",AI24)))</formula>
    </cfRule>
    <cfRule type="containsText" dxfId="556" priority="2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K31"/>
  <sheetViews>
    <sheetView showGridLines="0" showZeros="0" zoomScale="82" zoomScaleNormal="82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192</v>
      </c>
      <c r="I4" s="113"/>
      <c r="J4" s="114"/>
      <c r="K4" s="95">
        <f>H4*10320</f>
        <v>1981440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16</v>
      </c>
      <c r="I5" s="113"/>
      <c r="J5" s="114"/>
      <c r="K5" s="95">
        <f>H5*10320*1.5</f>
        <v>247680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89073.600000000006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68</v>
      </c>
      <c r="O11" s="109"/>
      <c r="P11" s="109"/>
      <c r="Q11" s="109"/>
      <c r="R11" s="109"/>
      <c r="S11" s="110"/>
      <c r="T11" s="95">
        <v>2610126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80</v>
      </c>
      <c r="C12" s="109"/>
      <c r="D12" s="109"/>
      <c r="E12" s="109"/>
      <c r="F12" s="109"/>
      <c r="G12" s="110"/>
      <c r="H12" s="103">
        <v>82560</v>
      </c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2699199.6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74">
        <f>SUM(K4,K5,K6,K7,K8,K9,H10,H11,H12,H13,H14,H15,H16)</f>
        <v>2699200</v>
      </c>
      <c r="I17" s="74"/>
      <c r="J17" s="74"/>
      <c r="K17" s="74"/>
      <c r="L17" s="74"/>
      <c r="M17" s="74"/>
      <c r="N17" s="107" t="s">
        <v>14</v>
      </c>
      <c r="O17" s="131"/>
      <c r="P17" s="131"/>
      <c r="Q17" s="131"/>
      <c r="R17" s="131"/>
      <c r="S17" s="132"/>
      <c r="T17" s="133">
        <f>H17-T16</f>
        <v>0.39999999990686774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38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94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55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박승미</v>
      </c>
      <c r="C26" s="35" t="s">
        <v>194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51"/>
      <c r="AJ26" s="18">
        <f>SUM(D26:AI26)</f>
        <v>192</v>
      </c>
    </row>
    <row r="27" spans="1:36" ht="16.5">
      <c r="A27" s="139"/>
      <c r="B27" s="82"/>
      <c r="C27" s="23" t="s">
        <v>195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52"/>
      <c r="AJ27" s="16">
        <f>SUM(D27:AI27)</f>
        <v>16</v>
      </c>
    </row>
    <row r="28" spans="1:36" ht="16.5">
      <c r="A28" s="139"/>
      <c r="B28" s="82"/>
      <c r="C28" s="23" t="s">
        <v>196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52"/>
      <c r="AJ28" s="16">
        <f>SUM(D28:AI28)</f>
        <v>24</v>
      </c>
    </row>
    <row r="29" spans="1:36" ht="16.5">
      <c r="A29" s="139"/>
      <c r="B29" s="82"/>
      <c r="C29" s="23" t="s">
        <v>187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52"/>
      <c r="AJ29" s="16">
        <f>SUM(D29:AI29)</f>
        <v>0</v>
      </c>
    </row>
    <row r="30" spans="1:36" ht="16.5">
      <c r="A30" s="22"/>
      <c r="B30" s="82"/>
      <c r="C30" s="23" t="s">
        <v>197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53"/>
      <c r="AJ30" s="16">
        <f>SUM(D30:AI30)</f>
        <v>0</v>
      </c>
    </row>
    <row r="31" spans="1:36" ht="18" customHeight="1" thickBot="1">
      <c r="B31" s="83"/>
      <c r="C31" s="24" t="s">
        <v>198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 t="s">
        <v>235</v>
      </c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4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546" priority="4" operator="containsText" text="결근">
      <formula>NOT(ISERROR(SEARCH("결근",C24)))</formula>
    </cfRule>
    <cfRule type="containsText" dxfId="545" priority="5" operator="containsText" text="퇴사">
      <formula>NOT(ISERROR(SEARCH("퇴사",C24)))</formula>
    </cfRule>
    <cfRule type="containsText" dxfId="544" priority="6" operator="containsText" text="입사">
      <formula>NOT(ISERROR(SEARCH("입사",C24)))</formula>
    </cfRule>
  </conditionalFormatting>
  <conditionalFormatting sqref="C26:C31">
    <cfRule type="containsText" dxfId="543" priority="1" operator="containsText" text="반차">
      <formula>NOT(ISERROR(SEARCH("반차",C26)))</formula>
    </cfRule>
    <cfRule type="containsText" dxfId="542" priority="2" operator="containsText" text="휴무">
      <formula>NOT(ISERROR(SEARCH("휴무",C26)))</formula>
    </cfRule>
    <cfRule type="containsText" dxfId="541" priority="3" operator="containsText" text="연차">
      <formula>NOT(ISERROR(SEARCH("연차",C26)))</formula>
    </cfRule>
  </conditionalFormatting>
  <conditionalFormatting sqref="AI24:AJ31">
    <cfRule type="containsText" dxfId="540" priority="27" operator="containsText" text="결근">
      <formula>NOT(ISERROR(SEARCH("결근",AI24)))</formula>
    </cfRule>
    <cfRule type="containsText" dxfId="539" priority="28" operator="containsText" text="퇴사">
      <formula>NOT(ISERROR(SEARCH("퇴사",AI24)))</formula>
    </cfRule>
    <cfRule type="containsText" dxfId="538" priority="2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K31"/>
  <sheetViews>
    <sheetView showGridLines="0" showZeros="0" zoomScale="82" zoomScaleNormal="82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64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94363.5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51</v>
      </c>
      <c r="I8" s="113"/>
      <c r="J8" s="114"/>
      <c r="K8" s="95">
        <f>ROUNDDOWN(H8*10320*1.5,-1)</f>
        <v>789480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68</v>
      </c>
      <c r="O11" s="109"/>
      <c r="P11" s="109"/>
      <c r="Q11" s="109"/>
      <c r="R11" s="109"/>
      <c r="S11" s="110"/>
      <c r="T11" s="95">
        <v>2765137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103">
        <v>67940</v>
      </c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6"/>
      <c r="N13" s="94"/>
      <c r="O13" s="109"/>
      <c r="P13" s="109"/>
      <c r="Q13" s="109"/>
      <c r="R13" s="109"/>
      <c r="S13" s="110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8"/>
      <c r="C15" s="109"/>
      <c r="D15" s="109"/>
      <c r="E15" s="109"/>
      <c r="F15" s="109"/>
      <c r="G15" s="110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2859500.5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2859500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38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95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51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김수희</v>
      </c>
      <c r="C26" s="35" t="s">
        <v>188</v>
      </c>
      <c r="D26" s="63">
        <v>8</v>
      </c>
      <c r="E26" s="149">
        <v>6</v>
      </c>
      <c r="F26" s="149">
        <v>6</v>
      </c>
      <c r="G26" s="149">
        <v>6</v>
      </c>
      <c r="H26" s="149">
        <v>6</v>
      </c>
      <c r="I26" s="149">
        <v>6</v>
      </c>
      <c r="J26" s="55"/>
      <c r="K26" s="66">
        <v>8</v>
      </c>
      <c r="L26" s="149">
        <v>6</v>
      </c>
      <c r="M26" s="149">
        <v>6</v>
      </c>
      <c r="N26" s="149">
        <v>6</v>
      </c>
      <c r="O26" s="149">
        <v>6</v>
      </c>
      <c r="P26" s="149">
        <v>6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6</v>
      </c>
      <c r="W26" s="149">
        <v>6</v>
      </c>
      <c r="X26" s="55"/>
      <c r="Y26" s="66">
        <v>8</v>
      </c>
      <c r="Z26" s="149">
        <v>6</v>
      </c>
      <c r="AA26" s="149">
        <v>6</v>
      </c>
      <c r="AB26" s="149">
        <v>6</v>
      </c>
      <c r="AC26" s="149">
        <v>6</v>
      </c>
      <c r="AD26" s="149">
        <v>6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189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190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71" t="s">
        <v>258</v>
      </c>
      <c r="D29" s="64"/>
      <c r="E29" s="150">
        <v>3</v>
      </c>
      <c r="F29" s="150">
        <v>3</v>
      </c>
      <c r="G29" s="150">
        <v>3</v>
      </c>
      <c r="H29" s="150">
        <v>3</v>
      </c>
      <c r="I29" s="150">
        <v>3</v>
      </c>
      <c r="J29" s="56"/>
      <c r="K29" s="67"/>
      <c r="L29" s="150">
        <v>3</v>
      </c>
      <c r="M29" s="150">
        <v>3</v>
      </c>
      <c r="N29" s="150">
        <v>3</v>
      </c>
      <c r="O29" s="150">
        <v>3</v>
      </c>
      <c r="P29" s="150">
        <v>3</v>
      </c>
      <c r="Q29" s="56"/>
      <c r="R29" s="67"/>
      <c r="S29" s="67"/>
      <c r="T29" s="67"/>
      <c r="U29" s="67"/>
      <c r="V29" s="150">
        <v>3</v>
      </c>
      <c r="W29" s="150">
        <v>3</v>
      </c>
      <c r="X29" s="56"/>
      <c r="Y29" s="67"/>
      <c r="Z29" s="150">
        <v>3</v>
      </c>
      <c r="AA29" s="150">
        <v>3</v>
      </c>
      <c r="AB29" s="150">
        <v>3</v>
      </c>
      <c r="AC29" s="150">
        <v>3</v>
      </c>
      <c r="AD29" s="150">
        <v>3</v>
      </c>
      <c r="AE29" s="59"/>
      <c r="AF29" s="150"/>
      <c r="AG29" s="150"/>
      <c r="AH29" s="156"/>
      <c r="AI29" s="48"/>
      <c r="AJ29" s="16">
        <f>SUM(D29:AI29)</f>
        <v>51</v>
      </c>
    </row>
    <row r="30" spans="1:36" ht="16.5">
      <c r="A30" s="22"/>
      <c r="B30" s="82"/>
      <c r="C30" s="23" t="s">
        <v>193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192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28 C30:C31">
    <cfRule type="containsText" dxfId="555" priority="4" operator="containsText" text="결근">
      <formula>NOT(ISERROR(SEARCH("결근",C24)))</formula>
    </cfRule>
    <cfRule type="containsText" dxfId="554" priority="5" operator="containsText" text="퇴사">
      <formula>NOT(ISERROR(SEARCH("퇴사",C24)))</formula>
    </cfRule>
    <cfRule type="containsText" dxfId="553" priority="6" operator="containsText" text="입사">
      <formula>NOT(ISERROR(SEARCH("입사",C24)))</formula>
    </cfRule>
  </conditionalFormatting>
  <conditionalFormatting sqref="C26:C28 C30:C31">
    <cfRule type="containsText" dxfId="552" priority="1" operator="containsText" text="반차">
      <formula>NOT(ISERROR(SEARCH("반차",C26)))</formula>
    </cfRule>
    <cfRule type="containsText" dxfId="551" priority="2" operator="containsText" text="휴무">
      <formula>NOT(ISERROR(SEARCH("휴무",C26)))</formula>
    </cfRule>
    <cfRule type="containsText" dxfId="550" priority="3" operator="containsText" text="연차">
      <formula>NOT(ISERROR(SEARCH("연차",C26)))</formula>
    </cfRule>
  </conditionalFormatting>
  <conditionalFormatting sqref="AI24:AJ31">
    <cfRule type="containsText" dxfId="549" priority="24" operator="containsText" text="결근">
      <formula>NOT(ISERROR(SEARCH("결근",AI24)))</formula>
    </cfRule>
    <cfRule type="containsText" dxfId="548" priority="25" operator="containsText" text="퇴사">
      <formula>NOT(ISERROR(SEARCH("퇴사",AI24)))</formula>
    </cfRule>
    <cfRule type="containsText" dxfId="547" priority="26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K31"/>
  <sheetViews>
    <sheetView showGridLines="0" showZeros="0" zoomScale="82" zoomScaleNormal="82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190</v>
      </c>
      <c r="I4" s="111"/>
      <c r="J4" s="111"/>
      <c r="K4" s="103">
        <f>H4*10320</f>
        <v>1960800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12</v>
      </c>
      <c r="I5" s="111"/>
      <c r="J5" s="111"/>
      <c r="K5" s="103">
        <f>H5*10320*1.5</f>
        <v>185760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90275.46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70</v>
      </c>
      <c r="O11" s="109"/>
      <c r="P11" s="109"/>
      <c r="Q11" s="109"/>
      <c r="R11" s="109"/>
      <c r="S11" s="110"/>
      <c r="T11" s="95">
        <v>2645345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>
        <v>81700</v>
      </c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92" t="s">
        <v>247</v>
      </c>
      <c r="C13" s="93"/>
      <c r="D13" s="93"/>
      <c r="E13" s="93"/>
      <c r="F13" s="93"/>
      <c r="G13" s="94"/>
      <c r="H13" s="95">
        <v>12000</v>
      </c>
      <c r="I13" s="96"/>
      <c r="J13" s="96"/>
      <c r="K13" s="96"/>
      <c r="L13" s="96"/>
      <c r="M13" s="97"/>
      <c r="N13" s="94"/>
      <c r="O13" s="109"/>
      <c r="P13" s="109"/>
      <c r="Q13" s="109"/>
      <c r="R13" s="109"/>
      <c r="S13" s="110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8"/>
      <c r="C15" s="109"/>
      <c r="D15" s="109"/>
      <c r="E15" s="109"/>
      <c r="F15" s="109"/>
      <c r="G15" s="110"/>
      <c r="H15" s="95"/>
      <c r="I15" s="96"/>
      <c r="J15" s="96"/>
      <c r="K15" s="96"/>
      <c r="L15" s="96"/>
      <c r="M15" s="97"/>
      <c r="N15" s="127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2" t="s">
        <v>12</v>
      </c>
      <c r="O16" s="127"/>
      <c r="P16" s="127"/>
      <c r="Q16" s="127"/>
      <c r="R16" s="127"/>
      <c r="S16" s="128"/>
      <c r="T16" s="95">
        <f>SUM(T4:Y11)</f>
        <v>2735620.46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2735620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133">
        <f>H17-T16</f>
        <v>-0.4599999999627471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41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96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설홍매</v>
      </c>
      <c r="C26" s="35" t="s">
        <v>188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81"/>
      <c r="B27" s="82"/>
      <c r="C27" s="23" t="s">
        <v>189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81"/>
      <c r="B28" s="82"/>
      <c r="C28" s="23" t="s">
        <v>190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81"/>
      <c r="B29" s="82"/>
      <c r="C29" s="23" t="s">
        <v>191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192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 t="s">
        <v>236</v>
      </c>
      <c r="AB31" s="151" t="s">
        <v>236</v>
      </c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537" priority="4" operator="containsText" text="결근">
      <formula>NOT(ISERROR(SEARCH("결근",C24)))</formula>
    </cfRule>
    <cfRule type="containsText" dxfId="536" priority="5" operator="containsText" text="퇴사">
      <formula>NOT(ISERROR(SEARCH("퇴사",C24)))</formula>
    </cfRule>
    <cfRule type="containsText" dxfId="535" priority="6" operator="containsText" text="입사">
      <formula>NOT(ISERROR(SEARCH("입사",C24)))</formula>
    </cfRule>
  </conditionalFormatting>
  <conditionalFormatting sqref="C26:C31">
    <cfRule type="containsText" dxfId="534" priority="1" operator="containsText" text="반차">
      <formula>NOT(ISERROR(SEARCH("반차",C26)))</formula>
    </cfRule>
    <cfRule type="containsText" dxfId="533" priority="2" operator="containsText" text="휴무">
      <formula>NOT(ISERROR(SEARCH("휴무",C26)))</formula>
    </cfRule>
    <cfRule type="containsText" dxfId="532" priority="3" operator="containsText" text="연차">
      <formula>NOT(ISERROR(SEARCH("연차",C26)))</formula>
    </cfRule>
  </conditionalFormatting>
  <conditionalFormatting sqref="AI24:AJ31">
    <cfRule type="containsText" dxfId="531" priority="19" operator="containsText" text="결근">
      <formula>NOT(ISERROR(SEARCH("결근",AI24)))</formula>
    </cfRule>
    <cfRule type="containsText" dxfId="530" priority="20" operator="containsText" text="퇴사">
      <formula>NOT(ISERROR(SEARCH("퇴사",AI24)))</formula>
    </cfRule>
    <cfRule type="containsText" dxfId="529" priority="21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K31"/>
  <sheetViews>
    <sheetView showGridLines="0" showZeros="0" zoomScale="82" zoomScaleNormal="82" workbookViewId="0">
      <selection activeCell="N18" sqref="N18:Y18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64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158</v>
      </c>
      <c r="I4" s="111"/>
      <c r="J4" s="111"/>
      <c r="K4" s="103">
        <f>H4*10320</f>
        <v>1630560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0</v>
      </c>
      <c r="I5" s="111"/>
      <c r="J5" s="111"/>
      <c r="K5" s="103">
        <f>H5*10320*1.5</f>
        <v>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99709.5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24</v>
      </c>
      <c r="I7" s="111"/>
      <c r="J7" s="111"/>
      <c r="K7" s="103">
        <f>H7*10320*1.5</f>
        <v>371520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51</v>
      </c>
      <c r="I8" s="113"/>
      <c r="J8" s="114"/>
      <c r="K8" s="103">
        <f>ROUNDDOWN(H8*10320*1.5,-1)</f>
        <v>789480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5"/>
      <c r="AA10" s="5"/>
      <c r="AB10" s="5"/>
      <c r="AC10" s="5"/>
      <c r="AD10" s="1"/>
      <c r="AE10" s="1"/>
      <c r="AF10" s="1"/>
      <c r="AG10" s="1"/>
      <c r="AH10" s="1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70</v>
      </c>
      <c r="O11" s="109"/>
      <c r="P11" s="109"/>
      <c r="Q11" s="109"/>
      <c r="R11" s="109"/>
      <c r="S11" s="110"/>
      <c r="T11" s="95">
        <v>2921791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>
        <v>67940</v>
      </c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162000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0"/>
      <c r="C15" s="101"/>
      <c r="D15" s="101"/>
      <c r="E15" s="101"/>
      <c r="F15" s="101"/>
      <c r="G15" s="102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3021500.5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3021500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133">
        <f>ROUNDDOWN(H17-T16,-1)</f>
        <v>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40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김구연</v>
      </c>
      <c r="C26" s="35" t="s">
        <v>118</v>
      </c>
      <c r="D26" s="63">
        <v>8</v>
      </c>
      <c r="E26" s="149">
        <v>6</v>
      </c>
      <c r="F26" s="149">
        <v>6</v>
      </c>
      <c r="G26" s="149">
        <v>6</v>
      </c>
      <c r="H26" s="149">
        <v>6</v>
      </c>
      <c r="I26" s="149">
        <v>6</v>
      </c>
      <c r="J26" s="55"/>
      <c r="K26" s="66">
        <v>8</v>
      </c>
      <c r="L26" s="149">
        <v>6</v>
      </c>
      <c r="M26" s="149">
        <v>6</v>
      </c>
      <c r="N26" s="149">
        <v>6</v>
      </c>
      <c r="O26" s="149">
        <v>6</v>
      </c>
      <c r="P26" s="149">
        <v>6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6</v>
      </c>
      <c r="W26" s="149">
        <v>6</v>
      </c>
      <c r="X26" s="55"/>
      <c r="Y26" s="66">
        <v>8</v>
      </c>
      <c r="Z26" s="149">
        <v>6</v>
      </c>
      <c r="AA26" s="149">
        <v>6</v>
      </c>
      <c r="AB26" s="149">
        <v>6</v>
      </c>
      <c r="AC26" s="149">
        <v>6</v>
      </c>
      <c r="AD26" s="149">
        <v>6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81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81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24</v>
      </c>
    </row>
    <row r="29" spans="1:36" ht="16.5">
      <c r="A29" s="81"/>
      <c r="B29" s="82"/>
      <c r="C29" s="71" t="s">
        <v>258</v>
      </c>
      <c r="D29" s="64"/>
      <c r="E29" s="150">
        <v>3</v>
      </c>
      <c r="F29" s="150">
        <v>3</v>
      </c>
      <c r="G29" s="150">
        <v>3</v>
      </c>
      <c r="H29" s="150">
        <v>3</v>
      </c>
      <c r="I29" s="150">
        <v>3</v>
      </c>
      <c r="J29" s="56"/>
      <c r="K29" s="67"/>
      <c r="L29" s="150">
        <v>3</v>
      </c>
      <c r="M29" s="150">
        <v>3</v>
      </c>
      <c r="N29" s="150">
        <v>3</v>
      </c>
      <c r="O29" s="150">
        <v>3</v>
      </c>
      <c r="P29" s="150">
        <v>3</v>
      </c>
      <c r="Q29" s="56"/>
      <c r="R29" s="67"/>
      <c r="S29" s="67"/>
      <c r="T29" s="67"/>
      <c r="U29" s="67"/>
      <c r="V29" s="150">
        <v>3</v>
      </c>
      <c r="W29" s="150">
        <v>3</v>
      </c>
      <c r="X29" s="56"/>
      <c r="Y29" s="67"/>
      <c r="Z29" s="150">
        <v>3</v>
      </c>
      <c r="AA29" s="150">
        <v>3</v>
      </c>
      <c r="AB29" s="150">
        <v>3</v>
      </c>
      <c r="AC29" s="150">
        <v>3</v>
      </c>
      <c r="AD29" s="150">
        <v>3</v>
      </c>
      <c r="AE29" s="59"/>
      <c r="AF29" s="150"/>
      <c r="AG29" s="150"/>
      <c r="AH29" s="156"/>
      <c r="AI29" s="48"/>
      <c r="AJ29" s="16">
        <f>SUM(D29:AI29)</f>
        <v>51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 t="s">
        <v>236</v>
      </c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2:Y12"/>
    <mergeCell ref="B13:G13"/>
    <mergeCell ref="H13:M13"/>
    <mergeCell ref="N13:S13"/>
    <mergeCell ref="T13:Y13"/>
    <mergeCell ref="B9:G9"/>
    <mergeCell ref="B12:G12"/>
    <mergeCell ref="H12:M12"/>
    <mergeCell ref="N12:S12"/>
    <mergeCell ref="B11:G11"/>
    <mergeCell ref="H11:M11"/>
    <mergeCell ref="N11:S11"/>
    <mergeCell ref="K9:M9"/>
    <mergeCell ref="N9:S9"/>
    <mergeCell ref="T11:Y11"/>
    <mergeCell ref="B10:G10"/>
    <mergeCell ref="H10:M10"/>
    <mergeCell ref="N10:S10"/>
    <mergeCell ref="T10:Y10"/>
    <mergeCell ref="T9:Y9"/>
    <mergeCell ref="N6:S6"/>
    <mergeCell ref="T6:Y6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N3:Y3"/>
    <mergeCell ref="B4:G4"/>
    <mergeCell ref="H4:J4"/>
    <mergeCell ref="K4:M4"/>
    <mergeCell ref="N4:S4"/>
    <mergeCell ref="T4:Y4"/>
    <mergeCell ref="B1:G2"/>
    <mergeCell ref="B3:M3"/>
    <mergeCell ref="K5:M5"/>
    <mergeCell ref="H6:J6"/>
    <mergeCell ref="K6:M6"/>
    <mergeCell ref="B6:G6"/>
    <mergeCell ref="B5:G5"/>
    <mergeCell ref="H5:J5"/>
  </mergeCells>
  <phoneticPr fontId="2" type="noConversion"/>
  <conditionalFormatting sqref="C24:C28 C30:C31">
    <cfRule type="containsText" dxfId="528" priority="4" operator="containsText" text="결근">
      <formula>NOT(ISERROR(SEARCH("결근",C24)))</formula>
    </cfRule>
    <cfRule type="containsText" dxfId="527" priority="5" operator="containsText" text="퇴사">
      <formula>NOT(ISERROR(SEARCH("퇴사",C24)))</formula>
    </cfRule>
    <cfRule type="containsText" dxfId="526" priority="6" operator="containsText" text="입사">
      <formula>NOT(ISERROR(SEARCH("입사",C24)))</formula>
    </cfRule>
  </conditionalFormatting>
  <conditionalFormatting sqref="C26:C28 C30:C31">
    <cfRule type="containsText" dxfId="525" priority="1" operator="containsText" text="반차">
      <formula>NOT(ISERROR(SEARCH("반차",C26)))</formula>
    </cfRule>
    <cfRule type="containsText" dxfId="524" priority="2" operator="containsText" text="휴무">
      <formula>NOT(ISERROR(SEARCH("휴무",C26)))</formula>
    </cfRule>
    <cfRule type="containsText" dxfId="523" priority="3" operator="containsText" text="연차">
      <formula>NOT(ISERROR(SEARCH("연차",C26)))</formula>
    </cfRule>
  </conditionalFormatting>
  <conditionalFormatting sqref="AI24:AJ31">
    <cfRule type="containsText" dxfId="522" priority="30" operator="containsText" text="결근">
      <formula>NOT(ISERROR(SEARCH("결근",AI24)))</formula>
    </cfRule>
    <cfRule type="containsText" dxfId="521" priority="31" operator="containsText" text="퇴사">
      <formula>NOT(ISERROR(SEARCH("퇴사",AI24)))</formula>
    </cfRule>
    <cfRule type="containsText" dxfId="520" priority="32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K31"/>
  <sheetViews>
    <sheetView showGridLines="0" showZeros="0" zoomScale="82" zoomScaleNormal="82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14</v>
      </c>
      <c r="I5" s="113"/>
      <c r="J5" s="114"/>
      <c r="K5" s="95">
        <f>H5*10320*1.5</f>
        <v>216720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88667.040000000008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70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103"/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8"/>
      <c r="C15" s="109"/>
      <c r="D15" s="109"/>
      <c r="E15" s="109"/>
      <c r="F15" s="109"/>
      <c r="G15" s="110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88667.040000000008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2686880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2598212.96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38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73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김현순</v>
      </c>
      <c r="C26" s="35" t="s">
        <v>182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183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14</v>
      </c>
    </row>
    <row r="28" spans="1:36" ht="16.5">
      <c r="A28" s="139"/>
      <c r="B28" s="82"/>
      <c r="C28" s="23" t="s">
        <v>184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185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186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519" priority="4" operator="containsText" text="결근">
      <formula>NOT(ISERROR(SEARCH("결근",C24)))</formula>
    </cfRule>
    <cfRule type="containsText" dxfId="518" priority="5" operator="containsText" text="퇴사">
      <formula>NOT(ISERROR(SEARCH("퇴사",C24)))</formula>
    </cfRule>
    <cfRule type="containsText" dxfId="517" priority="6" operator="containsText" text="입사">
      <formula>NOT(ISERROR(SEARCH("입사",C24)))</formula>
    </cfRule>
  </conditionalFormatting>
  <conditionalFormatting sqref="C26:C31">
    <cfRule type="containsText" dxfId="516" priority="1" operator="containsText" text="반차">
      <formula>NOT(ISERROR(SEARCH("반차",C26)))</formula>
    </cfRule>
    <cfRule type="containsText" dxfId="515" priority="2" operator="containsText" text="휴무">
      <formula>NOT(ISERROR(SEARCH("휴무",C26)))</formula>
    </cfRule>
    <cfRule type="containsText" dxfId="514" priority="3" operator="containsText" text="연차">
      <formula>NOT(ISERROR(SEARCH("연차",C26)))</formula>
    </cfRule>
  </conditionalFormatting>
  <conditionalFormatting sqref="AI24:AJ31">
    <cfRule type="containsText" dxfId="513" priority="19" operator="containsText" text="결근">
      <formula>NOT(ISERROR(SEARCH("결근",AI24)))</formula>
    </cfRule>
    <cfRule type="containsText" dxfId="512" priority="20" operator="containsText" text="퇴사">
      <formula>NOT(ISERROR(SEARCH("퇴사",AI24)))</formula>
    </cfRule>
    <cfRule type="containsText" dxfId="511" priority="21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K31"/>
  <sheetViews>
    <sheetView showGridLines="0" showZeros="0" zoomScale="82" zoomScaleNormal="82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64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192</v>
      </c>
      <c r="I4" s="111"/>
      <c r="J4" s="111"/>
      <c r="K4" s="103">
        <f>H4*10320</f>
        <v>1981440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4</v>
      </c>
      <c r="I5" s="111"/>
      <c r="J5" s="111"/>
      <c r="K5" s="103">
        <f>H5*10320*1.5</f>
        <v>61920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79823.040000000008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24</v>
      </c>
      <c r="I7" s="111"/>
      <c r="J7" s="111"/>
      <c r="K7" s="103">
        <f>H7*10320*1.5</f>
        <v>371520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>
      <c r="B12" s="92" t="s">
        <v>75</v>
      </c>
      <c r="C12" s="93"/>
      <c r="D12" s="93"/>
      <c r="E12" s="93"/>
      <c r="F12" s="93"/>
      <c r="G12" s="94"/>
      <c r="H12" s="103"/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247</v>
      </c>
      <c r="C13" s="93"/>
      <c r="D13" s="93"/>
      <c r="E13" s="93"/>
      <c r="F13" s="93"/>
      <c r="G13" s="94"/>
      <c r="H13" s="95">
        <v>4000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 customHeight="1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0"/>
      <c r="C15" s="101"/>
      <c r="D15" s="101"/>
      <c r="E15" s="101"/>
      <c r="F15" s="101"/>
      <c r="G15" s="102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79823.040000000008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2418880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2339056.96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39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98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장희숙</v>
      </c>
      <c r="C26" s="35" t="s">
        <v>176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192</v>
      </c>
    </row>
    <row r="27" spans="1:36" ht="16.5">
      <c r="A27" s="81"/>
      <c r="B27" s="82"/>
      <c r="C27" s="23" t="s">
        <v>177</v>
      </c>
      <c r="D27" s="64"/>
      <c r="E27" s="150">
        <v>2</v>
      </c>
      <c r="F27" s="150"/>
      <c r="G27" s="150"/>
      <c r="H27" s="150"/>
      <c r="I27" s="150"/>
      <c r="J27" s="56"/>
      <c r="K27" s="67"/>
      <c r="L27" s="150">
        <v>2</v>
      </c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4</v>
      </c>
    </row>
    <row r="28" spans="1:36" ht="16.5">
      <c r="A28" s="81"/>
      <c r="B28" s="82"/>
      <c r="C28" s="23" t="s">
        <v>178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24</v>
      </c>
    </row>
    <row r="29" spans="1:36" ht="16.5">
      <c r="A29" s="81"/>
      <c r="B29" s="82"/>
      <c r="C29" s="23" t="s">
        <v>259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180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181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510" priority="4" operator="containsText" text="결근">
      <formula>NOT(ISERROR(SEARCH("결근",C24)))</formula>
    </cfRule>
    <cfRule type="containsText" dxfId="509" priority="5" operator="containsText" text="퇴사">
      <formula>NOT(ISERROR(SEARCH("퇴사",C24)))</formula>
    </cfRule>
    <cfRule type="containsText" dxfId="508" priority="6" operator="containsText" text="입사">
      <formula>NOT(ISERROR(SEARCH("입사",C24)))</formula>
    </cfRule>
  </conditionalFormatting>
  <conditionalFormatting sqref="C26:C31">
    <cfRule type="containsText" dxfId="507" priority="1" operator="containsText" text="반차">
      <formula>NOT(ISERROR(SEARCH("반차",C26)))</formula>
    </cfRule>
    <cfRule type="containsText" dxfId="506" priority="2" operator="containsText" text="휴무">
      <formula>NOT(ISERROR(SEARCH("휴무",C26)))</formula>
    </cfRule>
    <cfRule type="containsText" dxfId="505" priority="3" operator="containsText" text="연차">
      <formula>NOT(ISERROR(SEARCH("연차",C26)))</formula>
    </cfRule>
  </conditionalFormatting>
  <conditionalFormatting sqref="AI24:AJ31">
    <cfRule type="containsText" dxfId="504" priority="25" operator="containsText" text="결근">
      <formula>NOT(ISERROR(SEARCH("결근",AI24)))</formula>
    </cfRule>
    <cfRule type="containsText" dxfId="503" priority="26" operator="containsText" text="퇴사">
      <formula>NOT(ISERROR(SEARCH("퇴사",AI24)))</formula>
    </cfRule>
    <cfRule type="containsText" dxfId="502" priority="27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K31"/>
  <sheetViews>
    <sheetView showGridLines="0" showZeros="0" zoomScale="82" zoomScaleNormal="82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192</v>
      </c>
      <c r="I4" s="111"/>
      <c r="J4" s="111"/>
      <c r="K4" s="103">
        <f>H4*10320</f>
        <v>1981440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16</v>
      </c>
      <c r="I5" s="111"/>
      <c r="J5" s="111"/>
      <c r="K5" s="103">
        <f>H5*10320*1.5</f>
        <v>247680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78175.680000000008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8</v>
      </c>
      <c r="I7" s="111"/>
      <c r="J7" s="111"/>
      <c r="K7" s="103">
        <f>H7*10320*1.5</f>
        <v>123840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5"/>
      <c r="AA10" s="5"/>
      <c r="AB10" s="5"/>
      <c r="AC10" s="5"/>
      <c r="AD10" s="1"/>
      <c r="AE10" s="1"/>
      <c r="AF10" s="1"/>
      <c r="AG10" s="1"/>
      <c r="AH10" s="1"/>
    </row>
    <row r="11" spans="2:37" ht="16.5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/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>
        <v>16000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0"/>
      <c r="C15" s="101"/>
      <c r="D15" s="101"/>
      <c r="E15" s="101"/>
      <c r="F15" s="101"/>
      <c r="G15" s="102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78175.680000000008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2368960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2290784.3199999998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39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99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김수정</v>
      </c>
      <c r="C26" s="35" t="s">
        <v>176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192</v>
      </c>
    </row>
    <row r="27" spans="1:36" ht="16.5">
      <c r="A27" s="81"/>
      <c r="B27" s="82"/>
      <c r="C27" s="23" t="s">
        <v>177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16</v>
      </c>
    </row>
    <row r="28" spans="1:36" ht="16.5">
      <c r="A28" s="81"/>
      <c r="B28" s="82"/>
      <c r="C28" s="23" t="s">
        <v>178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8</v>
      </c>
    </row>
    <row r="29" spans="1:36" ht="16.5">
      <c r="A29" s="81"/>
      <c r="B29" s="82"/>
      <c r="C29" s="23" t="s">
        <v>179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180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181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501" priority="4" operator="containsText" text="결근">
      <formula>NOT(ISERROR(SEARCH("결근",C24)))</formula>
    </cfRule>
    <cfRule type="containsText" dxfId="500" priority="5" operator="containsText" text="퇴사">
      <formula>NOT(ISERROR(SEARCH("퇴사",C24)))</formula>
    </cfRule>
    <cfRule type="containsText" dxfId="499" priority="6" operator="containsText" text="입사">
      <formula>NOT(ISERROR(SEARCH("입사",C24)))</formula>
    </cfRule>
  </conditionalFormatting>
  <conditionalFormatting sqref="C26:C31">
    <cfRule type="containsText" dxfId="498" priority="1" operator="containsText" text="반차">
      <formula>NOT(ISERROR(SEARCH("반차",C26)))</formula>
    </cfRule>
    <cfRule type="containsText" dxfId="497" priority="2" operator="containsText" text="휴무">
      <formula>NOT(ISERROR(SEARCH("휴무",C26)))</formula>
    </cfRule>
    <cfRule type="containsText" dxfId="496" priority="3" operator="containsText" text="연차">
      <formula>NOT(ISERROR(SEARCH("연차",C26)))</formula>
    </cfRule>
  </conditionalFormatting>
  <conditionalFormatting sqref="AI24:AJ31">
    <cfRule type="containsText" dxfId="495" priority="22" operator="containsText" text="결근">
      <formula>NOT(ISERROR(SEARCH("결근",AI24)))</formula>
    </cfRule>
    <cfRule type="containsText" dxfId="494" priority="23" operator="containsText" text="퇴사">
      <formula>NOT(ISERROR(SEARCH("퇴사",AI24)))</formula>
    </cfRule>
    <cfRule type="containsText" dxfId="493" priority="24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31"/>
  <sheetViews>
    <sheetView showGridLines="0" showZeros="0" zoomScale="82" zoomScaleNormal="82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182</v>
      </c>
      <c r="I4" s="111"/>
      <c r="J4" s="111"/>
      <c r="K4" s="103">
        <f>H4*10320</f>
        <v>1878240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15</v>
      </c>
      <c r="I5" s="111"/>
      <c r="J5" s="111"/>
      <c r="K5" s="103">
        <f>H5*10320*1.5</f>
        <v>232200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86453.400000000009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4" t="s">
        <v>10</v>
      </c>
      <c r="O9" s="109"/>
      <c r="P9" s="109"/>
      <c r="Q9" s="109"/>
      <c r="R9" s="109"/>
      <c r="S9" s="110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4" t="s">
        <v>11</v>
      </c>
      <c r="O10" s="109"/>
      <c r="P10" s="109"/>
      <c r="Q10" s="109"/>
      <c r="R10" s="109"/>
      <c r="S10" s="110"/>
      <c r="T10" s="95"/>
      <c r="U10" s="96"/>
      <c r="V10" s="96"/>
      <c r="W10" s="96"/>
      <c r="X10" s="96"/>
      <c r="Y10" s="98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4" t="s">
        <v>68</v>
      </c>
      <c r="O11" s="109"/>
      <c r="P11" s="109"/>
      <c r="Q11" s="109"/>
      <c r="R11" s="109"/>
      <c r="S11" s="110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80</v>
      </c>
      <c r="C12" s="93"/>
      <c r="D12" s="93"/>
      <c r="E12" s="93"/>
      <c r="F12" s="93"/>
      <c r="G12" s="94"/>
      <c r="H12" s="103"/>
      <c r="I12" s="103"/>
      <c r="J12" s="103"/>
      <c r="K12" s="103"/>
      <c r="L12" s="103"/>
      <c r="M12" s="103"/>
      <c r="N12" s="94"/>
      <c r="O12" s="109"/>
      <c r="P12" s="109"/>
      <c r="Q12" s="109"/>
      <c r="R12" s="109"/>
      <c r="S12" s="110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92" t="s">
        <v>254</v>
      </c>
      <c r="C13" s="93"/>
      <c r="D13" s="93"/>
      <c r="E13" s="93"/>
      <c r="F13" s="93"/>
      <c r="G13" s="94"/>
      <c r="H13" s="95">
        <v>14000</v>
      </c>
      <c r="I13" s="96"/>
      <c r="J13" s="96"/>
      <c r="K13" s="96"/>
      <c r="L13" s="96"/>
      <c r="M13" s="97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4"/>
      <c r="Z13" s="2"/>
      <c r="AA13" s="2"/>
    </row>
    <row r="14" spans="2:37" ht="16.5" customHeight="1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4"/>
      <c r="O14" s="109"/>
      <c r="P14" s="109"/>
      <c r="Q14" s="109"/>
      <c r="R14" s="109"/>
      <c r="S14" s="110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0"/>
      <c r="C15" s="101"/>
      <c r="D15" s="101"/>
      <c r="E15" s="101"/>
      <c r="F15" s="101"/>
      <c r="G15" s="102"/>
      <c r="H15" s="103"/>
      <c r="I15" s="103"/>
      <c r="J15" s="103"/>
      <c r="K15" s="103"/>
      <c r="L15" s="103"/>
      <c r="M15" s="103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86453.400000000009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2619800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2533346.6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40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257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박서원</v>
      </c>
      <c r="C26" s="35" t="s">
        <v>137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/>
      <c r="AD26" s="149">
        <v>8</v>
      </c>
      <c r="AE26" s="58"/>
      <c r="AF26" s="149"/>
      <c r="AG26" s="149"/>
      <c r="AH26" s="155"/>
      <c r="AI26" s="46"/>
      <c r="AJ26" s="18">
        <f>SUM(D26:AI26)</f>
        <v>182</v>
      </c>
    </row>
    <row r="27" spans="1:36" ht="16.5">
      <c r="A27" s="81"/>
      <c r="B27" s="82"/>
      <c r="C27" s="23" t="s">
        <v>138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>
        <v>1</v>
      </c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15</v>
      </c>
    </row>
    <row r="28" spans="1:36" ht="16.5">
      <c r="A28" s="81"/>
      <c r="B28" s="82"/>
      <c r="C28" s="23" t="s">
        <v>139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81"/>
      <c r="B29" s="82"/>
      <c r="C29" s="23" t="s">
        <v>140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141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142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 t="s">
        <v>238</v>
      </c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92" priority="4" operator="containsText" text="결근">
      <formula>NOT(ISERROR(SEARCH("결근",C24)))</formula>
    </cfRule>
    <cfRule type="containsText" dxfId="491" priority="5" operator="containsText" text="퇴사">
      <formula>NOT(ISERROR(SEARCH("퇴사",C24)))</formula>
    </cfRule>
    <cfRule type="containsText" dxfId="490" priority="6" operator="containsText" text="입사">
      <formula>NOT(ISERROR(SEARCH("입사",C24)))</formula>
    </cfRule>
  </conditionalFormatting>
  <conditionalFormatting sqref="C26:C31">
    <cfRule type="containsText" dxfId="489" priority="1" operator="containsText" text="반차">
      <formula>NOT(ISERROR(SEARCH("반차",C26)))</formula>
    </cfRule>
    <cfRule type="containsText" dxfId="488" priority="2" operator="containsText" text="휴무">
      <formula>NOT(ISERROR(SEARCH("휴무",C26)))</formula>
    </cfRule>
    <cfRule type="containsText" dxfId="487" priority="3" operator="containsText" text="연차">
      <formula>NOT(ISERROR(SEARCH("연차",C26)))</formula>
    </cfRule>
  </conditionalFormatting>
  <conditionalFormatting sqref="AI24:AJ31">
    <cfRule type="containsText" dxfId="486" priority="21" operator="containsText" text="결근">
      <formula>NOT(ISERROR(SEARCH("결근",AI24)))</formula>
    </cfRule>
    <cfRule type="containsText" dxfId="485" priority="22" operator="containsText" text="퇴사">
      <formula>NOT(ISERROR(SEARCH("퇴사",AI24)))</formula>
    </cfRule>
    <cfRule type="containsText" dxfId="484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K31"/>
  <sheetViews>
    <sheetView showGridLines="0" showZeros="0" zoomScale="82" zoomScaleNormal="82" workbookViewId="0">
      <selection activeCell="AN19" sqref="AN1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1">
        <f>AJ26</f>
        <v>183</v>
      </c>
      <c r="I4" s="111"/>
      <c r="J4" s="111"/>
      <c r="K4" s="103">
        <f>H4*10320</f>
        <v>1888560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12</v>
      </c>
      <c r="I5" s="111"/>
      <c r="J5" s="111"/>
      <c r="K5" s="103">
        <f>H5*10320*1.5</f>
        <v>185760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85195.44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5"/>
      <c r="AA10" s="5"/>
      <c r="AB10" s="5"/>
      <c r="AC10" s="5"/>
      <c r="AD10" s="1"/>
      <c r="AE10" s="1"/>
      <c r="AF10" s="1"/>
      <c r="AG10" s="1"/>
      <c r="AH10" s="1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103"/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92" t="s">
        <v>247</v>
      </c>
      <c r="C13" s="93"/>
      <c r="D13" s="93"/>
      <c r="E13" s="93"/>
      <c r="F13" s="93"/>
      <c r="G13" s="94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08"/>
      <c r="C15" s="109"/>
      <c r="D15" s="109"/>
      <c r="E15" s="109"/>
      <c r="F15" s="109"/>
      <c r="G15" s="110"/>
      <c r="H15" s="95"/>
      <c r="I15" s="96"/>
      <c r="J15" s="96"/>
      <c r="K15" s="96"/>
      <c r="L15" s="96"/>
      <c r="M15" s="97"/>
      <c r="N15" s="128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103"/>
      <c r="I16" s="103"/>
      <c r="J16" s="103"/>
      <c r="K16" s="103"/>
      <c r="L16" s="103"/>
      <c r="M16" s="103"/>
      <c r="N16" s="101" t="s">
        <v>12</v>
      </c>
      <c r="O16" s="101"/>
      <c r="P16" s="101"/>
      <c r="Q16" s="101"/>
      <c r="R16" s="101"/>
      <c r="S16" s="101"/>
      <c r="T16" s="103">
        <f>SUM(T4:Y11)</f>
        <v>85195.44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74">
        <f>SUM(K4,K5,K6,K7,K8,K9,H10,H11,H12,H13,H14,H15,H16)</f>
        <v>2581680</v>
      </c>
      <c r="I17" s="74"/>
      <c r="J17" s="74"/>
      <c r="K17" s="74"/>
      <c r="L17" s="74"/>
      <c r="M17" s="74"/>
      <c r="N17" s="106" t="s">
        <v>14</v>
      </c>
      <c r="O17" s="106"/>
      <c r="P17" s="106"/>
      <c r="Q17" s="106"/>
      <c r="R17" s="106"/>
      <c r="S17" s="106"/>
      <c r="T17" s="74">
        <f>H17-T16</f>
        <v>2496484.56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16.5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38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  <c r="AA20" s="5"/>
    </row>
    <row r="21" spans="1:36" ht="16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100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54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최삼순</v>
      </c>
      <c r="C26" s="35" t="s">
        <v>170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4</v>
      </c>
      <c r="J26" s="55"/>
      <c r="K26" s="66">
        <v>8</v>
      </c>
      <c r="L26" s="149">
        <v>8</v>
      </c>
      <c r="M26" s="149">
        <v>8</v>
      </c>
      <c r="N26" s="149">
        <v>5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183</v>
      </c>
    </row>
    <row r="27" spans="1:36" ht="16.5">
      <c r="A27" s="81"/>
      <c r="B27" s="82"/>
      <c r="C27" s="23" t="s">
        <v>171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81"/>
      <c r="B28" s="82"/>
      <c r="C28" s="23" t="s">
        <v>172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81"/>
      <c r="B29" s="82"/>
      <c r="C29" s="23" t="s">
        <v>173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174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175</v>
      </c>
      <c r="D31" s="65"/>
      <c r="E31" s="151"/>
      <c r="F31" s="151"/>
      <c r="G31" s="151"/>
      <c r="H31" s="151"/>
      <c r="I31" s="151" t="s">
        <v>237</v>
      </c>
      <c r="J31" s="57"/>
      <c r="K31" s="68"/>
      <c r="L31" s="151"/>
      <c r="M31" s="151"/>
      <c r="N31" s="151" t="s">
        <v>297</v>
      </c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483" priority="4" operator="containsText" text="결근">
      <formula>NOT(ISERROR(SEARCH("결근",C24)))</formula>
    </cfRule>
    <cfRule type="containsText" dxfId="482" priority="5" operator="containsText" text="퇴사">
      <formula>NOT(ISERROR(SEARCH("퇴사",C24)))</formula>
    </cfRule>
    <cfRule type="containsText" dxfId="481" priority="6" operator="containsText" text="입사">
      <formula>NOT(ISERROR(SEARCH("입사",C24)))</formula>
    </cfRule>
  </conditionalFormatting>
  <conditionalFormatting sqref="C26:C31">
    <cfRule type="containsText" dxfId="480" priority="1" operator="containsText" text="반차">
      <formula>NOT(ISERROR(SEARCH("반차",C26)))</formula>
    </cfRule>
    <cfRule type="containsText" dxfId="479" priority="2" operator="containsText" text="휴무">
      <formula>NOT(ISERROR(SEARCH("휴무",C26)))</formula>
    </cfRule>
    <cfRule type="containsText" dxfId="478" priority="3" operator="containsText" text="연차">
      <formula>NOT(ISERROR(SEARCH("연차",C26)))</formula>
    </cfRule>
  </conditionalFormatting>
  <conditionalFormatting sqref="AI24:AJ31">
    <cfRule type="containsText" dxfId="477" priority="19" operator="containsText" text="결근">
      <formula>NOT(ISERROR(SEARCH("결근",AI24)))</formula>
    </cfRule>
    <cfRule type="containsText" dxfId="476" priority="20" operator="containsText" text="퇴사">
      <formula>NOT(ISERROR(SEARCH("퇴사",AI24)))</formula>
    </cfRule>
    <cfRule type="containsText" dxfId="475" priority="21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71232.48000000001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71232.48000000001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2158560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2087327.52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101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프라타레네린</v>
      </c>
      <c r="C26" s="35" t="s">
        <v>164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159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165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166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167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74" priority="4" operator="containsText" text="결근">
      <formula>NOT(ISERROR(SEARCH("결근",C24)))</formula>
    </cfRule>
    <cfRule type="containsText" dxfId="473" priority="5" operator="containsText" text="퇴사">
      <formula>NOT(ISERROR(SEARCH("퇴사",C24)))</formula>
    </cfRule>
    <cfRule type="containsText" dxfId="472" priority="6" operator="containsText" text="입사">
      <formula>NOT(ISERROR(SEARCH("입사",C24)))</formula>
    </cfRule>
  </conditionalFormatting>
  <conditionalFormatting sqref="C26:C31">
    <cfRule type="containsText" dxfId="471" priority="1" operator="containsText" text="반차">
      <formula>NOT(ISERROR(SEARCH("반차",C26)))</formula>
    </cfRule>
    <cfRule type="containsText" dxfId="470" priority="2" operator="containsText" text="휴무">
      <formula>NOT(ISERROR(SEARCH("휴무",C26)))</formula>
    </cfRule>
    <cfRule type="containsText" dxfId="469" priority="3" operator="containsText" text="연차">
      <formula>NOT(ISERROR(SEARCH("연차",C26)))</formula>
    </cfRule>
  </conditionalFormatting>
  <conditionalFormatting sqref="AI24:AJ31">
    <cfRule type="containsText" dxfId="468" priority="19" operator="containsText" text="결근">
      <formula>NOT(ISERROR(SEARCH("결근",AI24)))</formula>
    </cfRule>
    <cfRule type="containsText" dxfId="467" priority="20" operator="containsText" text="퇴사">
      <formula>NOT(ISERROR(SEARCH("퇴사",AI24)))</formula>
    </cfRule>
    <cfRule type="containsText" dxfId="466" priority="21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83492.639999999999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247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83492.639999999999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2530080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2446587.36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102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육은심</v>
      </c>
      <c r="C26" s="35" t="s">
        <v>158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159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160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161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162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163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 t="s">
        <v>235</v>
      </c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65" priority="4" operator="containsText" text="결근">
      <formula>NOT(ISERROR(SEARCH("결근",C24)))</formula>
    </cfRule>
    <cfRule type="containsText" dxfId="464" priority="5" operator="containsText" text="퇴사">
      <formula>NOT(ISERROR(SEARCH("퇴사",C24)))</formula>
    </cfRule>
    <cfRule type="containsText" dxfId="463" priority="6" operator="containsText" text="입사">
      <formula>NOT(ISERROR(SEARCH("입사",C24)))</formula>
    </cfRule>
  </conditionalFormatting>
  <conditionalFormatting sqref="C26:C31">
    <cfRule type="containsText" dxfId="462" priority="1" operator="containsText" text="반차">
      <formula>NOT(ISERROR(SEARCH("반차",C26)))</formula>
    </cfRule>
    <cfRule type="containsText" dxfId="461" priority="2" operator="containsText" text="휴무">
      <formula>NOT(ISERROR(SEARCH("휴무",C26)))</formula>
    </cfRule>
    <cfRule type="containsText" dxfId="460" priority="3" operator="containsText" text="연차">
      <formula>NOT(ISERROR(SEARCH("연차",C26)))</formula>
    </cfRule>
  </conditionalFormatting>
  <conditionalFormatting sqref="AI24:AJ31">
    <cfRule type="containsText" dxfId="459" priority="16" operator="containsText" text="결근">
      <formula>NOT(ISERROR(SEARCH("결근",AI24)))</formula>
    </cfRule>
    <cfRule type="containsText" dxfId="458" priority="17" operator="containsText" text="퇴사">
      <formula>NOT(ISERROR(SEARCH("퇴사",AI24)))</formula>
    </cfRule>
    <cfRule type="containsText" dxfId="457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10</v>
      </c>
      <c r="I5" s="113"/>
      <c r="J5" s="114"/>
      <c r="K5" s="95">
        <f>H5*10320*1.5</f>
        <v>154800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70144.800000000003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253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70144.800000000003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2125600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2055455.2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103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김수현</v>
      </c>
      <c r="C26" s="35" t="s">
        <v>152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157</v>
      </c>
      <c r="D27" s="64"/>
      <c r="E27" s="150"/>
      <c r="F27" s="150">
        <v>2</v>
      </c>
      <c r="G27" s="150"/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153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154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155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156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56" priority="4" operator="containsText" text="결근">
      <formula>NOT(ISERROR(SEARCH("결근",C24)))</formula>
    </cfRule>
    <cfRule type="containsText" dxfId="455" priority="5" operator="containsText" text="퇴사">
      <formula>NOT(ISERROR(SEARCH("퇴사",C24)))</formula>
    </cfRule>
    <cfRule type="containsText" dxfId="454" priority="6" operator="containsText" text="입사">
      <formula>NOT(ISERROR(SEARCH("입사",C24)))</formula>
    </cfRule>
  </conditionalFormatting>
  <conditionalFormatting sqref="C26:C31">
    <cfRule type="containsText" dxfId="453" priority="1" operator="containsText" text="반차">
      <formula>NOT(ISERROR(SEARCH("반차",C26)))</formula>
    </cfRule>
    <cfRule type="containsText" dxfId="452" priority="2" operator="containsText" text="휴무">
      <formula>NOT(ISERROR(SEARCH("휴무",C26)))</formula>
    </cfRule>
    <cfRule type="containsText" dxfId="451" priority="3" operator="containsText" text="연차">
      <formula>NOT(ISERROR(SEARCH("연차",C26)))</formula>
    </cfRule>
  </conditionalFormatting>
  <conditionalFormatting sqref="AI24:AJ31">
    <cfRule type="containsText" dxfId="450" priority="21" operator="containsText" text="결근">
      <formula>NOT(ISERROR(SEARCH("결근",AI24)))</formula>
    </cfRule>
    <cfRule type="containsText" dxfId="449" priority="22" operator="containsText" text="퇴사">
      <formula>NOT(ISERROR(SEARCH("퇴사",AI24)))</formula>
    </cfRule>
    <cfRule type="containsText" dxfId="448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AE12-A964-4D6F-8559-322F663ADBB8}">
  <sheetPr>
    <pageSetUpPr fitToPage="1"/>
  </sheetPr>
  <dimension ref="A1:AK31"/>
  <sheetViews>
    <sheetView showGridLines="0" showZeros="0" zoomScale="85" zoomScaleNormal="85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192</v>
      </c>
      <c r="I4" s="113"/>
      <c r="J4" s="114"/>
      <c r="K4" s="95">
        <f>H4*10320</f>
        <v>1981440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16</v>
      </c>
      <c r="I5" s="113"/>
      <c r="J5" s="114"/>
      <c r="K5" s="95">
        <f>H5*10320*1.5</f>
        <v>247680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93160.320000000007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>
        <v>2729880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>
        <v>82560</v>
      </c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2823040.32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2823040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-0.31999999983236194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한계숙</v>
      </c>
      <c r="C26" s="35" t="s">
        <v>107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192</v>
      </c>
    </row>
    <row r="27" spans="1:36" ht="16.5">
      <c r="A27" s="139"/>
      <c r="B27" s="82"/>
      <c r="C27" s="23" t="s">
        <v>108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16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47" priority="4" operator="containsText" text="결근">
      <formula>NOT(ISERROR(SEARCH("결근",C24)))</formula>
    </cfRule>
    <cfRule type="containsText" dxfId="446" priority="5" operator="containsText" text="퇴사">
      <formula>NOT(ISERROR(SEARCH("퇴사",C24)))</formula>
    </cfRule>
    <cfRule type="containsText" dxfId="445" priority="6" operator="containsText" text="입사">
      <formula>NOT(ISERROR(SEARCH("입사",C24)))</formula>
    </cfRule>
  </conditionalFormatting>
  <conditionalFormatting sqref="C26:C31">
    <cfRule type="containsText" dxfId="444" priority="1" operator="containsText" text="반차">
      <formula>NOT(ISERROR(SEARCH("반차",C26)))</formula>
    </cfRule>
    <cfRule type="containsText" dxfId="443" priority="2" operator="containsText" text="휴무">
      <formula>NOT(ISERROR(SEARCH("휴무",C26)))</formula>
    </cfRule>
    <cfRule type="containsText" dxfId="442" priority="3" operator="containsText" text="연차">
      <formula>NOT(ISERROR(SEARCH("연차",C26)))</formula>
    </cfRule>
  </conditionalFormatting>
  <conditionalFormatting sqref="AI24:AJ31">
    <cfRule type="containsText" dxfId="441" priority="7" operator="containsText" text="결근">
      <formula>NOT(ISERROR(SEARCH("결근",AI24)))</formula>
    </cfRule>
    <cfRule type="containsText" dxfId="440" priority="8" operator="containsText" text="퇴사">
      <formula>NOT(ISERROR(SEARCH("퇴사",AI24)))</formula>
    </cfRule>
    <cfRule type="containsText" dxfId="439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87579.36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247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87579.36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2653920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2566340.64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104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풍춘향</v>
      </c>
      <c r="C26" s="35" t="s">
        <v>137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138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139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140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141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142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38" priority="4" operator="containsText" text="결근">
      <formula>NOT(ISERROR(SEARCH("결근",C24)))</formula>
    </cfRule>
    <cfRule type="containsText" dxfId="437" priority="5" operator="containsText" text="퇴사">
      <formula>NOT(ISERROR(SEARCH("퇴사",C24)))</formula>
    </cfRule>
    <cfRule type="containsText" dxfId="436" priority="6" operator="containsText" text="입사">
      <formula>NOT(ISERROR(SEARCH("입사",C24)))</formula>
    </cfRule>
  </conditionalFormatting>
  <conditionalFormatting sqref="C26:C31">
    <cfRule type="containsText" dxfId="435" priority="1" operator="containsText" text="반차">
      <formula>NOT(ISERROR(SEARCH("반차",C26)))</formula>
    </cfRule>
    <cfRule type="containsText" dxfId="434" priority="2" operator="containsText" text="휴무">
      <formula>NOT(ISERROR(SEARCH("휴무",C26)))</formula>
    </cfRule>
    <cfRule type="containsText" dxfId="433" priority="3" operator="containsText" text="연차">
      <formula>NOT(ISERROR(SEARCH("연차",C26)))</formula>
    </cfRule>
  </conditionalFormatting>
  <conditionalFormatting sqref="AI24:AJ31">
    <cfRule type="containsText" dxfId="432" priority="16" operator="containsText" text="결근">
      <formula>NOT(ISERROR(SEARCH("결근",AI24)))</formula>
    </cfRule>
    <cfRule type="containsText" dxfId="431" priority="17" operator="containsText" text="퇴사">
      <formula>NOT(ISERROR(SEARCH("퇴사",AI24)))</formula>
    </cfRule>
    <cfRule type="containsText" dxfId="430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AK31"/>
  <sheetViews>
    <sheetView showGridLines="0" showZeros="0" zoomScale="85" zoomScaleNormal="85" workbookViewId="0">
      <selection activeCell="T12" sqref="T12:Y12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0</v>
      </c>
      <c r="I4" s="113"/>
      <c r="J4" s="114"/>
      <c r="K4" s="95">
        <f>H4*10320</f>
        <v>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4950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>
        <v>545050</v>
      </c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248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550000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v>550000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233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유지원</v>
      </c>
      <c r="C26" s="35" t="s">
        <v>107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0</v>
      </c>
    </row>
    <row r="27" spans="1:36" ht="16.5">
      <c r="A27" s="139"/>
      <c r="B27" s="82"/>
      <c r="C27" s="23" t="s">
        <v>123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124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/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29" priority="4" operator="containsText" text="결근">
      <formula>NOT(ISERROR(SEARCH("결근",C24)))</formula>
    </cfRule>
    <cfRule type="containsText" dxfId="428" priority="5" operator="containsText" text="퇴사">
      <formula>NOT(ISERROR(SEARCH("퇴사",C24)))</formula>
    </cfRule>
    <cfRule type="containsText" dxfId="427" priority="6" operator="containsText" text="입사">
      <formula>NOT(ISERROR(SEARCH("입사",C24)))</formula>
    </cfRule>
  </conditionalFormatting>
  <conditionalFormatting sqref="C26:C31">
    <cfRule type="containsText" dxfId="426" priority="1" operator="containsText" text="반차">
      <formula>NOT(ISERROR(SEARCH("반차",C26)))</formula>
    </cfRule>
    <cfRule type="containsText" dxfId="425" priority="2" operator="containsText" text="휴무">
      <formula>NOT(ISERROR(SEARCH("휴무",C26)))</formula>
    </cfRule>
    <cfRule type="containsText" dxfId="424" priority="3" operator="containsText" text="연차">
      <formula>NOT(ISERROR(SEARCH("연차",C26)))</formula>
    </cfRule>
  </conditionalFormatting>
  <conditionalFormatting sqref="AI24:AJ31">
    <cfRule type="containsText" dxfId="423" priority="16" operator="containsText" text="결근">
      <formula>NOT(ISERROR(SEARCH("결근",AI24)))</formula>
    </cfRule>
    <cfRule type="containsText" dxfId="422" priority="17" operator="containsText" text="퇴사">
      <formula>NOT(ISERROR(SEARCH("퇴사",AI24)))</formula>
    </cfRule>
    <cfRule type="containsText" dxfId="421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83492.639999999999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251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83492.639999999999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2530080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2446587.36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김연순</v>
      </c>
      <c r="C26" s="35" t="s">
        <v>118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20" priority="4" operator="containsText" text="결근">
      <formula>NOT(ISERROR(SEARCH("결근",C24)))</formula>
    </cfRule>
    <cfRule type="containsText" dxfId="419" priority="5" operator="containsText" text="퇴사">
      <formula>NOT(ISERROR(SEARCH("퇴사",C24)))</formula>
    </cfRule>
    <cfRule type="containsText" dxfId="418" priority="6" operator="containsText" text="입사">
      <formula>NOT(ISERROR(SEARCH("입사",C24)))</formula>
    </cfRule>
  </conditionalFormatting>
  <conditionalFormatting sqref="C26:C31">
    <cfRule type="containsText" dxfId="417" priority="1" operator="containsText" text="반차">
      <formula>NOT(ISERROR(SEARCH("반차",C26)))</formula>
    </cfRule>
    <cfRule type="containsText" dxfId="416" priority="2" operator="containsText" text="휴무">
      <formula>NOT(ISERROR(SEARCH("휴무",C26)))</formula>
    </cfRule>
    <cfRule type="containsText" dxfId="415" priority="3" operator="containsText" text="연차">
      <formula>NOT(ISERROR(SEARCH("연차",C26)))</formula>
    </cfRule>
  </conditionalFormatting>
  <conditionalFormatting sqref="AI24:AJ31">
    <cfRule type="containsText" dxfId="414" priority="21" operator="containsText" text="결근">
      <formula>NOT(ISERROR(SEARCH("결근",AI24)))</formula>
    </cfRule>
    <cfRule type="containsText" dxfId="413" priority="22" operator="containsText" text="퇴사">
      <formula>NOT(ISERROR(SEARCH("퇴사",AI24)))</formula>
    </cfRule>
    <cfRule type="containsText" dxfId="412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65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186</v>
      </c>
      <c r="I4" s="113"/>
      <c r="J4" s="114"/>
      <c r="K4" s="95">
        <f>H4*10320</f>
        <v>1919520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14</v>
      </c>
      <c r="I5" s="113"/>
      <c r="J5" s="114"/>
      <c r="K5" s="95">
        <f>H5*10320*1.5</f>
        <v>216720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83218.080000000002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ROUNDDOWN(H8*10320*1.5,-1)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70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83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252</v>
      </c>
      <c r="C13" s="109"/>
      <c r="D13" s="109"/>
      <c r="E13" s="109"/>
      <c r="F13" s="109"/>
      <c r="G13" s="110"/>
      <c r="H13" s="95">
        <v>14000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83218.080000000002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2521760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2438541.92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105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지미경</v>
      </c>
      <c r="C26" s="35" t="s">
        <v>107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2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186</v>
      </c>
    </row>
    <row r="27" spans="1:36" ht="16.5">
      <c r="A27" s="139"/>
      <c r="B27" s="82"/>
      <c r="C27" s="23" t="s">
        <v>108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14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 t="s">
        <v>235</v>
      </c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 t="s">
        <v>235</v>
      </c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 t="s">
        <v>236</v>
      </c>
      <c r="AA31" s="151"/>
      <c r="AB31" s="151" t="s">
        <v>237</v>
      </c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25">
    <cfRule type="containsText" dxfId="411" priority="10" operator="containsText" text="결근">
      <formula>NOT(ISERROR(SEARCH("결근",C24)))</formula>
    </cfRule>
    <cfRule type="containsText" dxfId="410" priority="11" operator="containsText" text="퇴사">
      <formula>NOT(ISERROR(SEARCH("퇴사",C24)))</formula>
    </cfRule>
    <cfRule type="containsText" dxfId="409" priority="12" operator="containsText" text="입사">
      <formula>NOT(ISERROR(SEARCH("입사",C24)))</formula>
    </cfRule>
  </conditionalFormatting>
  <conditionalFormatting sqref="AI24:AJ31">
    <cfRule type="containsText" dxfId="405" priority="27" operator="containsText" text="결근">
      <formula>NOT(ISERROR(SEARCH("결근",AI24)))</formula>
    </cfRule>
    <cfRule type="containsText" dxfId="404" priority="28" operator="containsText" text="퇴사">
      <formula>NOT(ISERROR(SEARCH("퇴사",AI24)))</formula>
    </cfRule>
    <cfRule type="containsText" dxfId="403" priority="29" operator="containsText" text="입사">
      <formula>NOT(ISERROR(SEARCH("입사",AI24)))</formula>
    </cfRule>
  </conditionalFormatting>
  <conditionalFormatting sqref="C26:C31">
    <cfRule type="containsText" dxfId="7" priority="4" operator="containsText" text="결근">
      <formula>NOT(ISERROR(SEARCH("결근",C26)))</formula>
    </cfRule>
    <cfRule type="containsText" dxfId="6" priority="5" operator="containsText" text="퇴사">
      <formula>NOT(ISERROR(SEARCH("퇴사",C26)))</formula>
    </cfRule>
    <cfRule type="containsText" dxfId="5" priority="6" operator="containsText" text="입사">
      <formula>NOT(ISERROR(SEARCH("입사",C26)))</formula>
    </cfRule>
  </conditionalFormatting>
  <conditionalFormatting sqref="C26:C31">
    <cfRule type="containsText" dxfId="4" priority="1" operator="containsText" text="반차">
      <formula>NOT(ISERROR(SEARCH("반차",C26)))</formula>
    </cfRule>
    <cfRule type="containsText" dxfId="3" priority="2" operator="containsText" text="휴무">
      <formula>NOT(ISERROR(SEARCH("휴무",C26)))</formula>
    </cfRule>
    <cfRule type="containsText" dxfId="2" priority="3" operator="containsText" text="연차">
      <formula>NOT(ISERROR(SEARCH("연차",C26)))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10</v>
      </c>
      <c r="I5" s="113"/>
      <c r="J5" s="114"/>
      <c r="K5" s="95">
        <f>H5*10320*1.5</f>
        <v>154800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86491.680000000008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80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86491.680000000008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2620960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2534468.3199999998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106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48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쩐티남</v>
      </c>
      <c r="C26" s="35" t="s">
        <v>132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130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/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133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134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02" priority="4" operator="containsText" text="결근">
      <formula>NOT(ISERROR(SEARCH("결근",C24)))</formula>
    </cfRule>
    <cfRule type="containsText" dxfId="401" priority="5" operator="containsText" text="퇴사">
      <formula>NOT(ISERROR(SEARCH("퇴사",C24)))</formula>
    </cfRule>
    <cfRule type="containsText" dxfId="400" priority="6" operator="containsText" text="입사">
      <formula>NOT(ISERROR(SEARCH("입사",C24)))</formula>
    </cfRule>
  </conditionalFormatting>
  <conditionalFormatting sqref="C26:C31">
    <cfRule type="containsText" dxfId="399" priority="1" operator="containsText" text="반차">
      <formula>NOT(ISERROR(SEARCH("반차",C26)))</formula>
    </cfRule>
    <cfRule type="containsText" dxfId="398" priority="2" operator="containsText" text="휴무">
      <formula>NOT(ISERROR(SEARCH("휴무",C26)))</formula>
    </cfRule>
    <cfRule type="containsText" dxfId="397" priority="3" operator="containsText" text="연차">
      <formula>NOT(ISERROR(SEARCH("연차",C26)))</formula>
    </cfRule>
  </conditionalFormatting>
  <conditionalFormatting sqref="AI24:AJ31">
    <cfRule type="containsText" dxfId="396" priority="21" operator="containsText" text="결근">
      <formula>NOT(ISERROR(SEARCH("결근",AI24)))</formula>
    </cfRule>
    <cfRule type="containsText" dxfId="395" priority="22" operator="containsText" text="퇴사">
      <formula>NOT(ISERROR(SEARCH("퇴사",AI24)))</formula>
    </cfRule>
    <cfRule type="containsText" dxfId="394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324B-84CC-4167-B638-064962D42265}">
  <sheetPr>
    <pageSetUpPr fitToPage="1"/>
  </sheetPr>
  <dimension ref="A1:AK31"/>
  <sheetViews>
    <sheetView showGridLines="0" showZeros="0" zoomScale="85" zoomScaleNormal="85" workbookViewId="0">
      <selection activeCell="K9" sqref="K9:M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96208.200000000012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51</v>
      </c>
      <c r="I8" s="113"/>
      <c r="J8" s="114"/>
      <c r="K8" s="95">
        <f>ROUNDDOWN(H8*10320*1.5,-1)</f>
        <v>789480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96208.200000000012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2915400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2819191.8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294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박혜선</v>
      </c>
      <c r="C26" s="35" t="s">
        <v>107</v>
      </c>
      <c r="D26" s="63">
        <v>8</v>
      </c>
      <c r="E26" s="149">
        <v>6</v>
      </c>
      <c r="F26" s="149">
        <v>6</v>
      </c>
      <c r="G26" s="149">
        <v>6</v>
      </c>
      <c r="H26" s="149">
        <v>6</v>
      </c>
      <c r="I26" s="149">
        <v>6</v>
      </c>
      <c r="J26" s="55"/>
      <c r="K26" s="66">
        <v>8</v>
      </c>
      <c r="L26" s="149">
        <v>6</v>
      </c>
      <c r="M26" s="149">
        <v>6</v>
      </c>
      <c r="N26" s="149">
        <v>6</v>
      </c>
      <c r="O26" s="149">
        <v>6</v>
      </c>
      <c r="P26" s="149">
        <v>6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6</v>
      </c>
      <c r="W26" s="149">
        <v>6</v>
      </c>
      <c r="X26" s="55"/>
      <c r="Y26" s="66">
        <v>8</v>
      </c>
      <c r="Z26" s="149">
        <v>6</v>
      </c>
      <c r="AA26" s="149">
        <v>6</v>
      </c>
      <c r="AB26" s="149">
        <v>6</v>
      </c>
      <c r="AC26" s="149">
        <v>6</v>
      </c>
      <c r="AD26" s="149">
        <v>6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71" t="s">
        <v>258</v>
      </c>
      <c r="D29" s="64"/>
      <c r="E29" s="150">
        <v>3</v>
      </c>
      <c r="F29" s="150">
        <v>3</v>
      </c>
      <c r="G29" s="150">
        <v>3</v>
      </c>
      <c r="H29" s="150">
        <v>3</v>
      </c>
      <c r="I29" s="150">
        <v>3</v>
      </c>
      <c r="J29" s="56"/>
      <c r="K29" s="67"/>
      <c r="L29" s="150">
        <v>3</v>
      </c>
      <c r="M29" s="150">
        <v>3</v>
      </c>
      <c r="N29" s="150">
        <v>3</v>
      </c>
      <c r="O29" s="150">
        <v>3</v>
      </c>
      <c r="P29" s="150">
        <v>3</v>
      </c>
      <c r="Q29" s="56"/>
      <c r="R29" s="67"/>
      <c r="S29" s="67"/>
      <c r="T29" s="67"/>
      <c r="U29" s="67"/>
      <c r="V29" s="150">
        <v>3</v>
      </c>
      <c r="W29" s="150">
        <v>3</v>
      </c>
      <c r="X29" s="56"/>
      <c r="Y29" s="67"/>
      <c r="Z29" s="150">
        <v>3</v>
      </c>
      <c r="AA29" s="150">
        <v>3</v>
      </c>
      <c r="AB29" s="150">
        <v>3</v>
      </c>
      <c r="AC29" s="150">
        <v>3</v>
      </c>
      <c r="AD29" s="150">
        <v>3</v>
      </c>
      <c r="AE29" s="59"/>
      <c r="AF29" s="150"/>
      <c r="AG29" s="150"/>
      <c r="AH29" s="156"/>
      <c r="AI29" s="48"/>
      <c r="AJ29" s="16">
        <f>SUM(D29:AI29)</f>
        <v>51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28 C30:C31">
    <cfRule type="containsText" dxfId="393" priority="4" operator="containsText" text="결근">
      <formula>NOT(ISERROR(SEARCH("결근",C24)))</formula>
    </cfRule>
    <cfRule type="containsText" dxfId="392" priority="5" operator="containsText" text="퇴사">
      <formula>NOT(ISERROR(SEARCH("퇴사",C24)))</formula>
    </cfRule>
    <cfRule type="containsText" dxfId="391" priority="6" operator="containsText" text="입사">
      <formula>NOT(ISERROR(SEARCH("입사",C24)))</formula>
    </cfRule>
  </conditionalFormatting>
  <conditionalFormatting sqref="C26:C28 C30:C31">
    <cfRule type="containsText" dxfId="390" priority="1" operator="containsText" text="반차">
      <formula>NOT(ISERROR(SEARCH("반차",C26)))</formula>
    </cfRule>
    <cfRule type="containsText" dxfId="389" priority="2" operator="containsText" text="휴무">
      <formula>NOT(ISERROR(SEARCH("휴무",C26)))</formula>
    </cfRule>
    <cfRule type="containsText" dxfId="388" priority="3" operator="containsText" text="연차">
      <formula>NOT(ISERROR(SEARCH("연차",C26)))</formula>
    </cfRule>
  </conditionalFormatting>
  <conditionalFormatting sqref="AI24:AJ31">
    <cfRule type="containsText" dxfId="387" priority="7" operator="containsText" text="결근">
      <formula>NOT(ISERROR(SEARCH("결근",AI24)))</formula>
    </cfRule>
    <cfRule type="containsText" dxfId="386" priority="8" operator="containsText" text="퇴사">
      <formula>NOT(ISERROR(SEARCH("퇴사",AI24)))</formula>
    </cfRule>
    <cfRule type="containsText" dxfId="385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3390-A8AA-4FD9-89D3-2E9F2D204F54}">
  <sheetPr>
    <pageSetUpPr fitToPage="1"/>
  </sheetPr>
  <dimension ref="A1:AK31"/>
  <sheetViews>
    <sheetView showGridLines="0" showZeros="0" zoomScale="85" zoomScaleNormal="85" workbookViewId="0">
      <selection activeCell="K9" sqref="K9:M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99376.200000000012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51</v>
      </c>
      <c r="I8" s="113"/>
      <c r="J8" s="114"/>
      <c r="K8" s="95">
        <f>ROUNDDOWN(H8*10320*1.5,-1)</f>
        <v>789480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96000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99376.200000000012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3011400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2912023.8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293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이수진</v>
      </c>
      <c r="C26" s="35" t="s">
        <v>107</v>
      </c>
      <c r="D26" s="63">
        <v>8</v>
      </c>
      <c r="E26" s="149">
        <v>6</v>
      </c>
      <c r="F26" s="149">
        <v>6</v>
      </c>
      <c r="G26" s="149">
        <v>6</v>
      </c>
      <c r="H26" s="149">
        <v>6</v>
      </c>
      <c r="I26" s="149">
        <v>6</v>
      </c>
      <c r="J26" s="55"/>
      <c r="K26" s="66">
        <v>8</v>
      </c>
      <c r="L26" s="149">
        <v>6</v>
      </c>
      <c r="M26" s="149">
        <v>6</v>
      </c>
      <c r="N26" s="149">
        <v>6</v>
      </c>
      <c r="O26" s="149">
        <v>6</v>
      </c>
      <c r="P26" s="149">
        <v>6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6</v>
      </c>
      <c r="W26" s="149">
        <v>6</v>
      </c>
      <c r="X26" s="55"/>
      <c r="Y26" s="66">
        <v>8</v>
      </c>
      <c r="Z26" s="149">
        <v>6</v>
      </c>
      <c r="AA26" s="149">
        <v>6</v>
      </c>
      <c r="AB26" s="149">
        <v>6</v>
      </c>
      <c r="AC26" s="149">
        <v>6</v>
      </c>
      <c r="AD26" s="149">
        <v>6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71" t="s">
        <v>258</v>
      </c>
      <c r="D29" s="64"/>
      <c r="E29" s="150">
        <v>3</v>
      </c>
      <c r="F29" s="150">
        <v>3</v>
      </c>
      <c r="G29" s="150">
        <v>3</v>
      </c>
      <c r="H29" s="150">
        <v>3</v>
      </c>
      <c r="I29" s="150">
        <v>3</v>
      </c>
      <c r="J29" s="56"/>
      <c r="K29" s="67"/>
      <c r="L29" s="150">
        <v>3</v>
      </c>
      <c r="M29" s="150">
        <v>3</v>
      </c>
      <c r="N29" s="150">
        <v>3</v>
      </c>
      <c r="O29" s="150">
        <v>3</v>
      </c>
      <c r="P29" s="150">
        <v>3</v>
      </c>
      <c r="Q29" s="56"/>
      <c r="R29" s="67"/>
      <c r="S29" s="67"/>
      <c r="T29" s="67"/>
      <c r="U29" s="67"/>
      <c r="V29" s="150">
        <v>3</v>
      </c>
      <c r="W29" s="150">
        <v>3</v>
      </c>
      <c r="X29" s="56"/>
      <c r="Y29" s="67"/>
      <c r="Z29" s="150">
        <v>3</v>
      </c>
      <c r="AA29" s="150">
        <v>3</v>
      </c>
      <c r="AB29" s="150">
        <v>3</v>
      </c>
      <c r="AC29" s="150">
        <v>3</v>
      </c>
      <c r="AD29" s="150">
        <v>3</v>
      </c>
      <c r="AE29" s="59"/>
      <c r="AF29" s="150"/>
      <c r="AG29" s="150"/>
      <c r="AH29" s="156"/>
      <c r="AI29" s="48"/>
      <c r="AJ29" s="16">
        <f>SUM(D29:AI29)</f>
        <v>51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 t="s">
        <v>236</v>
      </c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28 C30:C31">
    <cfRule type="containsText" dxfId="384" priority="4" operator="containsText" text="결근">
      <formula>NOT(ISERROR(SEARCH("결근",C24)))</formula>
    </cfRule>
    <cfRule type="containsText" dxfId="383" priority="5" operator="containsText" text="퇴사">
      <formula>NOT(ISERROR(SEARCH("퇴사",C24)))</formula>
    </cfRule>
    <cfRule type="containsText" dxfId="382" priority="6" operator="containsText" text="입사">
      <formula>NOT(ISERROR(SEARCH("입사",C24)))</formula>
    </cfRule>
  </conditionalFormatting>
  <conditionalFormatting sqref="C26:C28 C30:C31">
    <cfRule type="containsText" dxfId="381" priority="1" operator="containsText" text="반차">
      <formula>NOT(ISERROR(SEARCH("반차",C26)))</formula>
    </cfRule>
    <cfRule type="containsText" dxfId="380" priority="2" operator="containsText" text="휴무">
      <formula>NOT(ISERROR(SEARCH("휴무",C26)))</formula>
    </cfRule>
    <cfRule type="containsText" dxfId="379" priority="3" operator="containsText" text="연차">
      <formula>NOT(ISERROR(SEARCH("연차",C26)))</formula>
    </cfRule>
  </conditionalFormatting>
  <conditionalFormatting sqref="AI24:AJ31">
    <cfRule type="containsText" dxfId="378" priority="7" operator="containsText" text="결근">
      <formula>NOT(ISERROR(SEARCH("결근",AI24)))</formula>
    </cfRule>
    <cfRule type="containsText" dxfId="377" priority="8" operator="containsText" text="퇴사">
      <formula>NOT(ISERROR(SEARCH("퇴사",AI24)))</formula>
    </cfRule>
    <cfRule type="containsText" dxfId="376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6391-24A4-4AF2-9633-B3510299414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174</v>
      </c>
      <c r="I4" s="113"/>
      <c r="J4" s="114"/>
      <c r="K4" s="95">
        <f>H4*10320</f>
        <v>1795680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10</v>
      </c>
      <c r="I5" s="113"/>
      <c r="J5" s="114"/>
      <c r="K5" s="95">
        <f>H5*10320*1.5</f>
        <v>154800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76956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76956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2332000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2255044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292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강명옥</v>
      </c>
      <c r="C26" s="35" t="s">
        <v>107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/>
      <c r="P26" s="149">
        <v>8</v>
      </c>
      <c r="Q26" s="55"/>
      <c r="R26" s="66"/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174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 t="s">
        <v>238</v>
      </c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75" priority="4" operator="containsText" text="결근">
      <formula>NOT(ISERROR(SEARCH("결근",C24)))</formula>
    </cfRule>
    <cfRule type="containsText" dxfId="374" priority="5" operator="containsText" text="퇴사">
      <formula>NOT(ISERROR(SEARCH("퇴사",C24)))</formula>
    </cfRule>
    <cfRule type="containsText" dxfId="373" priority="6" operator="containsText" text="입사">
      <formula>NOT(ISERROR(SEARCH("입사",C24)))</formula>
    </cfRule>
  </conditionalFormatting>
  <conditionalFormatting sqref="C26:C31">
    <cfRule type="containsText" dxfId="372" priority="1" operator="containsText" text="반차">
      <formula>NOT(ISERROR(SEARCH("반차",C26)))</formula>
    </cfRule>
    <cfRule type="containsText" dxfId="371" priority="2" operator="containsText" text="휴무">
      <formula>NOT(ISERROR(SEARCH("휴무",C26)))</formula>
    </cfRule>
    <cfRule type="containsText" dxfId="370" priority="3" operator="containsText" text="연차">
      <formula>NOT(ISERROR(SEARCH("연차",C26)))</formula>
    </cfRule>
  </conditionalFormatting>
  <conditionalFormatting sqref="AI24:AJ31">
    <cfRule type="containsText" dxfId="369" priority="7" operator="containsText" text="결근">
      <formula>NOT(ISERROR(SEARCH("결근",AI24)))</formula>
    </cfRule>
    <cfRule type="containsText" dxfId="368" priority="8" operator="containsText" text="퇴사">
      <formula>NOT(ISERROR(SEARCH("퇴사",AI24)))</formula>
    </cfRule>
    <cfRule type="containsText" dxfId="367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733F-896C-44C9-A59D-D3DB1D3863CC}">
  <sheetPr>
    <pageSetUpPr fitToPage="1"/>
  </sheetPr>
  <dimension ref="A1:AK31"/>
  <sheetViews>
    <sheetView showGridLines="0" showZeros="0" zoomScaleNormal="100" workbookViewId="0">
      <selection activeCell="K9" sqref="K9:M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91004.760000000009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51</v>
      </c>
      <c r="I8" s="113"/>
      <c r="J8" s="114"/>
      <c r="K8" s="95">
        <f>ROUNDDOWN(H8*10320*1.5,-1)</f>
        <v>789480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90000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91004.760000000009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2757720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2666715.2400000002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291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최춘자</v>
      </c>
      <c r="C26" s="35" t="s">
        <v>107</v>
      </c>
      <c r="D26" s="63">
        <v>8</v>
      </c>
      <c r="E26" s="149">
        <v>6</v>
      </c>
      <c r="F26" s="149">
        <v>6</v>
      </c>
      <c r="G26" s="149">
        <v>6</v>
      </c>
      <c r="H26" s="149">
        <v>6</v>
      </c>
      <c r="I26" s="149">
        <v>6</v>
      </c>
      <c r="J26" s="55"/>
      <c r="K26" s="66">
        <v>8</v>
      </c>
      <c r="L26" s="149">
        <v>6</v>
      </c>
      <c r="M26" s="149">
        <v>6</v>
      </c>
      <c r="N26" s="149">
        <v>6</v>
      </c>
      <c r="O26" s="149">
        <v>6</v>
      </c>
      <c r="P26" s="149">
        <v>6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6</v>
      </c>
      <c r="W26" s="149">
        <v>6</v>
      </c>
      <c r="X26" s="55"/>
      <c r="Y26" s="66">
        <v>8</v>
      </c>
      <c r="Z26" s="149">
        <v>6</v>
      </c>
      <c r="AA26" s="149">
        <v>6</v>
      </c>
      <c r="AB26" s="149">
        <v>6</v>
      </c>
      <c r="AC26" s="149">
        <v>6</v>
      </c>
      <c r="AD26" s="149">
        <v>6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71" t="s">
        <v>258</v>
      </c>
      <c r="D29" s="64"/>
      <c r="E29" s="150">
        <v>3</v>
      </c>
      <c r="F29" s="150">
        <v>3</v>
      </c>
      <c r="G29" s="150">
        <v>3</v>
      </c>
      <c r="H29" s="150">
        <v>3</v>
      </c>
      <c r="I29" s="150">
        <v>3</v>
      </c>
      <c r="J29" s="56"/>
      <c r="K29" s="67"/>
      <c r="L29" s="150">
        <v>3</v>
      </c>
      <c r="M29" s="150">
        <v>3</v>
      </c>
      <c r="N29" s="150">
        <v>3</v>
      </c>
      <c r="O29" s="150">
        <v>3</v>
      </c>
      <c r="P29" s="150">
        <v>3</v>
      </c>
      <c r="Q29" s="56"/>
      <c r="R29" s="67"/>
      <c r="S29" s="67"/>
      <c r="T29" s="67"/>
      <c r="U29" s="67"/>
      <c r="V29" s="150">
        <v>3</v>
      </c>
      <c r="W29" s="150">
        <v>3</v>
      </c>
      <c r="X29" s="56"/>
      <c r="Y29" s="67"/>
      <c r="Z29" s="150">
        <v>3</v>
      </c>
      <c r="AA29" s="150">
        <v>3</v>
      </c>
      <c r="AB29" s="150">
        <v>3</v>
      </c>
      <c r="AC29" s="150">
        <v>3</v>
      </c>
      <c r="AD29" s="150">
        <v>3</v>
      </c>
      <c r="AE29" s="59"/>
      <c r="AF29" s="150"/>
      <c r="AG29" s="150"/>
      <c r="AH29" s="156"/>
      <c r="AI29" s="48"/>
      <c r="AJ29" s="16">
        <f>SUM(D29:AI29)</f>
        <v>51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 t="s">
        <v>236</v>
      </c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 t="s">
        <v>236</v>
      </c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28 C30:C31">
    <cfRule type="containsText" dxfId="366" priority="4" operator="containsText" text="결근">
      <formula>NOT(ISERROR(SEARCH("결근",C24)))</formula>
    </cfRule>
    <cfRule type="containsText" dxfId="365" priority="5" operator="containsText" text="퇴사">
      <formula>NOT(ISERROR(SEARCH("퇴사",C24)))</formula>
    </cfRule>
    <cfRule type="containsText" dxfId="364" priority="6" operator="containsText" text="입사">
      <formula>NOT(ISERROR(SEARCH("입사",C24)))</formula>
    </cfRule>
  </conditionalFormatting>
  <conditionalFormatting sqref="C26:C28 C30:C31">
    <cfRule type="containsText" dxfId="363" priority="1" operator="containsText" text="반차">
      <formula>NOT(ISERROR(SEARCH("반차",C26)))</formula>
    </cfRule>
    <cfRule type="containsText" dxfId="362" priority="2" operator="containsText" text="휴무">
      <formula>NOT(ISERROR(SEARCH("휴무",C26)))</formula>
    </cfRule>
    <cfRule type="containsText" dxfId="361" priority="3" operator="containsText" text="연차">
      <formula>NOT(ISERROR(SEARCH("연차",C26)))</formula>
    </cfRule>
  </conditionalFormatting>
  <conditionalFormatting sqref="AI24:AJ31">
    <cfRule type="containsText" dxfId="360" priority="7" operator="containsText" text="결근">
      <formula>NOT(ISERROR(SEARCH("결근",AI24)))</formula>
    </cfRule>
    <cfRule type="containsText" dxfId="359" priority="8" operator="containsText" text="퇴사">
      <formula>NOT(ISERROR(SEARCH("퇴사",AI24)))</formula>
    </cfRule>
    <cfRule type="containsText" dxfId="358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DEAB-BD23-4812-9C36-B90E3CABA97F}">
  <sheetPr>
    <pageSetUpPr fitToPage="1"/>
  </sheetPr>
  <dimension ref="A1:AK31"/>
  <sheetViews>
    <sheetView showGridLines="0" showZeros="0" zoomScale="85" zoomScaleNormal="85" workbookViewId="0">
      <selection activeCell="K9" sqref="K9:M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96208.200000000012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51</v>
      </c>
      <c r="I8" s="113"/>
      <c r="J8" s="114"/>
      <c r="K8" s="95">
        <f>ROUNDDOWN(H8*10320*1.5,-1)</f>
        <v>789480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96208.200000000012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2915400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2819191.8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290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레티탐</v>
      </c>
      <c r="C26" s="35" t="s">
        <v>107</v>
      </c>
      <c r="D26" s="63">
        <v>8</v>
      </c>
      <c r="E26" s="149">
        <v>6</v>
      </c>
      <c r="F26" s="149">
        <v>6</v>
      </c>
      <c r="G26" s="149">
        <v>6</v>
      </c>
      <c r="H26" s="149">
        <v>6</v>
      </c>
      <c r="I26" s="149">
        <v>6</v>
      </c>
      <c r="J26" s="55"/>
      <c r="K26" s="66">
        <v>8</v>
      </c>
      <c r="L26" s="149">
        <v>6</v>
      </c>
      <c r="M26" s="149">
        <v>6</v>
      </c>
      <c r="N26" s="149">
        <v>6</v>
      </c>
      <c r="O26" s="149">
        <v>6</v>
      </c>
      <c r="P26" s="149">
        <v>6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6</v>
      </c>
      <c r="W26" s="149">
        <v>6</v>
      </c>
      <c r="X26" s="55"/>
      <c r="Y26" s="66">
        <v>8</v>
      </c>
      <c r="Z26" s="149">
        <v>6</v>
      </c>
      <c r="AA26" s="149">
        <v>6</v>
      </c>
      <c r="AB26" s="149">
        <v>6</v>
      </c>
      <c r="AC26" s="149">
        <v>6</v>
      </c>
      <c r="AD26" s="149">
        <v>6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71" t="s">
        <v>258</v>
      </c>
      <c r="D29" s="64"/>
      <c r="E29" s="150">
        <v>3</v>
      </c>
      <c r="F29" s="150">
        <v>3</v>
      </c>
      <c r="G29" s="150">
        <v>3</v>
      </c>
      <c r="H29" s="150">
        <v>3</v>
      </c>
      <c r="I29" s="150">
        <v>3</v>
      </c>
      <c r="J29" s="56"/>
      <c r="K29" s="67"/>
      <c r="L29" s="150">
        <v>3</v>
      </c>
      <c r="M29" s="150">
        <v>3</v>
      </c>
      <c r="N29" s="150">
        <v>3</v>
      </c>
      <c r="O29" s="150">
        <v>3</v>
      </c>
      <c r="P29" s="150">
        <v>3</v>
      </c>
      <c r="Q29" s="56"/>
      <c r="R29" s="67"/>
      <c r="S29" s="67"/>
      <c r="T29" s="67"/>
      <c r="U29" s="67"/>
      <c r="V29" s="150">
        <v>3</v>
      </c>
      <c r="W29" s="150">
        <v>3</v>
      </c>
      <c r="X29" s="56"/>
      <c r="Y29" s="67"/>
      <c r="Z29" s="150">
        <v>3</v>
      </c>
      <c r="AA29" s="150">
        <v>3</v>
      </c>
      <c r="AB29" s="150">
        <v>3</v>
      </c>
      <c r="AC29" s="150">
        <v>3</v>
      </c>
      <c r="AD29" s="150">
        <v>3</v>
      </c>
      <c r="AE29" s="59"/>
      <c r="AF29" s="150"/>
      <c r="AG29" s="150"/>
      <c r="AH29" s="156"/>
      <c r="AI29" s="48"/>
      <c r="AJ29" s="16">
        <f>SUM(D29:AI29)</f>
        <v>51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28 C30:C31">
    <cfRule type="containsText" dxfId="357" priority="4" operator="containsText" text="결근">
      <formula>NOT(ISERROR(SEARCH("결근",C24)))</formula>
    </cfRule>
    <cfRule type="containsText" dxfId="356" priority="5" operator="containsText" text="퇴사">
      <formula>NOT(ISERROR(SEARCH("퇴사",C24)))</formula>
    </cfRule>
    <cfRule type="containsText" dxfId="355" priority="6" operator="containsText" text="입사">
      <formula>NOT(ISERROR(SEARCH("입사",C24)))</formula>
    </cfRule>
  </conditionalFormatting>
  <conditionalFormatting sqref="C26:C28 C30:C31">
    <cfRule type="containsText" dxfId="354" priority="1" operator="containsText" text="반차">
      <formula>NOT(ISERROR(SEARCH("반차",C26)))</formula>
    </cfRule>
    <cfRule type="containsText" dxfId="353" priority="2" operator="containsText" text="휴무">
      <formula>NOT(ISERROR(SEARCH("휴무",C26)))</formula>
    </cfRule>
    <cfRule type="containsText" dxfId="352" priority="3" operator="containsText" text="연차">
      <formula>NOT(ISERROR(SEARCH("연차",C26)))</formula>
    </cfRule>
  </conditionalFormatting>
  <conditionalFormatting sqref="AI24:AJ31">
    <cfRule type="containsText" dxfId="351" priority="7" operator="containsText" text="결근">
      <formula>NOT(ISERROR(SEARCH("결근",AI24)))</formula>
    </cfRule>
    <cfRule type="containsText" dxfId="350" priority="8" operator="containsText" text="퇴사">
      <formula>NOT(ISERROR(SEARCH("퇴사",AI24)))</formula>
    </cfRule>
    <cfRule type="containsText" dxfId="349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B4C5-D64A-4975-B9A5-499749610B28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192</v>
      </c>
      <c r="I4" s="113"/>
      <c r="J4" s="114"/>
      <c r="K4" s="95">
        <f>H4*10320</f>
        <v>1981440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16</v>
      </c>
      <c r="I5" s="113"/>
      <c r="J5" s="114"/>
      <c r="K5" s="95">
        <f>H5*10320*1.5</f>
        <v>247680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90435.840000000011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90435.840000000011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2740480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2650044.16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289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노미순</v>
      </c>
      <c r="C26" s="35" t="s">
        <v>107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192</v>
      </c>
    </row>
    <row r="27" spans="1:36" ht="16.5">
      <c r="A27" s="139"/>
      <c r="B27" s="82"/>
      <c r="C27" s="23" t="s">
        <v>108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16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 t="s">
        <v>235</v>
      </c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48" priority="4" operator="containsText" text="결근">
      <formula>NOT(ISERROR(SEARCH("결근",C24)))</formula>
    </cfRule>
    <cfRule type="containsText" dxfId="347" priority="5" operator="containsText" text="퇴사">
      <formula>NOT(ISERROR(SEARCH("퇴사",C24)))</formula>
    </cfRule>
    <cfRule type="containsText" dxfId="346" priority="6" operator="containsText" text="입사">
      <formula>NOT(ISERROR(SEARCH("입사",C24)))</formula>
    </cfRule>
  </conditionalFormatting>
  <conditionalFormatting sqref="C26:C31">
    <cfRule type="containsText" dxfId="345" priority="1" operator="containsText" text="반차">
      <formula>NOT(ISERROR(SEARCH("반차",C26)))</formula>
    </cfRule>
    <cfRule type="containsText" dxfId="344" priority="2" operator="containsText" text="휴무">
      <formula>NOT(ISERROR(SEARCH("휴무",C26)))</formula>
    </cfRule>
    <cfRule type="containsText" dxfId="343" priority="3" operator="containsText" text="연차">
      <formula>NOT(ISERROR(SEARCH("연차",C26)))</formula>
    </cfRule>
  </conditionalFormatting>
  <conditionalFormatting sqref="AI24:AJ31">
    <cfRule type="containsText" dxfId="342" priority="7" operator="containsText" text="결근">
      <formula>NOT(ISERROR(SEARCH("결근",AI24)))</formula>
    </cfRule>
    <cfRule type="containsText" dxfId="341" priority="8" operator="containsText" text="퇴사">
      <formula>NOT(ISERROR(SEARCH("퇴사",AI24)))</formula>
    </cfRule>
    <cfRule type="containsText" dxfId="340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81FD-AF38-4A35-977A-372DBC09183E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87579.36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87579.36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2653920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2566340.64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288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한서현</v>
      </c>
      <c r="C26" s="35" t="s">
        <v>107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/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39" priority="4" operator="containsText" text="결근">
      <formula>NOT(ISERROR(SEARCH("결근",C24)))</formula>
    </cfRule>
    <cfRule type="containsText" dxfId="338" priority="5" operator="containsText" text="퇴사">
      <formula>NOT(ISERROR(SEARCH("퇴사",C24)))</formula>
    </cfRule>
    <cfRule type="containsText" dxfId="337" priority="6" operator="containsText" text="입사">
      <formula>NOT(ISERROR(SEARCH("입사",C24)))</formula>
    </cfRule>
  </conditionalFormatting>
  <conditionalFormatting sqref="C26:C31">
    <cfRule type="containsText" dxfId="336" priority="1" operator="containsText" text="반차">
      <formula>NOT(ISERROR(SEARCH("반차",C26)))</formula>
    </cfRule>
    <cfRule type="containsText" dxfId="335" priority="2" operator="containsText" text="휴무">
      <formula>NOT(ISERROR(SEARCH("휴무",C26)))</formula>
    </cfRule>
    <cfRule type="containsText" dxfId="334" priority="3" operator="containsText" text="연차">
      <formula>NOT(ISERROR(SEARCH("연차",C26)))</formula>
    </cfRule>
  </conditionalFormatting>
  <conditionalFormatting sqref="AI24:AJ31">
    <cfRule type="containsText" dxfId="333" priority="7" operator="containsText" text="결근">
      <formula>NOT(ISERROR(SEARCH("결근",AI24)))</formula>
    </cfRule>
    <cfRule type="containsText" dxfId="332" priority="8" operator="containsText" text="퇴사">
      <formula>NOT(ISERROR(SEARCH("퇴사",AI24)))</formula>
    </cfRule>
    <cfRule type="containsText" dxfId="331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AB5E-2B37-4A6A-A048-27C1CF706C98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10</v>
      </c>
      <c r="I5" s="113"/>
      <c r="J5" s="114"/>
      <c r="K5" s="95">
        <f>H5*10320*1.5</f>
        <v>154800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71507.040000000008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71507.040000000008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2166880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2095372.96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응웬티회</v>
      </c>
      <c r="C26" s="35" t="s">
        <v>107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/>
      <c r="W26" s="149"/>
      <c r="X26" s="55"/>
      <c r="Y26" s="66"/>
      <c r="Z26" s="149">
        <v>8</v>
      </c>
      <c r="AA26" s="149">
        <v>8</v>
      </c>
      <c r="AB26" s="149">
        <v>8</v>
      </c>
      <c r="AC26" s="149"/>
      <c r="AD26" s="149">
        <v>8</v>
      </c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/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 t="s">
        <v>238</v>
      </c>
      <c r="W31" s="151" t="s">
        <v>238</v>
      </c>
      <c r="X31" s="57"/>
      <c r="Y31" s="68"/>
      <c r="Z31" s="151"/>
      <c r="AA31" s="151"/>
      <c r="AB31" s="151"/>
      <c r="AC31" s="151" t="s">
        <v>238</v>
      </c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30" priority="4" operator="containsText" text="결근">
      <formula>NOT(ISERROR(SEARCH("결근",C24)))</formula>
    </cfRule>
    <cfRule type="containsText" dxfId="329" priority="5" operator="containsText" text="퇴사">
      <formula>NOT(ISERROR(SEARCH("퇴사",C24)))</formula>
    </cfRule>
    <cfRule type="containsText" dxfId="328" priority="6" operator="containsText" text="입사">
      <formula>NOT(ISERROR(SEARCH("입사",C24)))</formula>
    </cfRule>
  </conditionalFormatting>
  <conditionalFormatting sqref="C26:C31">
    <cfRule type="containsText" dxfId="327" priority="1" operator="containsText" text="반차">
      <formula>NOT(ISERROR(SEARCH("반차",C26)))</formula>
    </cfRule>
    <cfRule type="containsText" dxfId="326" priority="2" operator="containsText" text="휴무">
      <formula>NOT(ISERROR(SEARCH("휴무",C26)))</formula>
    </cfRule>
    <cfRule type="containsText" dxfId="325" priority="3" operator="containsText" text="연차">
      <formula>NOT(ISERROR(SEARCH("연차",C26)))</formula>
    </cfRule>
  </conditionalFormatting>
  <conditionalFormatting sqref="AI24:AJ31">
    <cfRule type="containsText" dxfId="324" priority="7" operator="containsText" text="결근">
      <formula>NOT(ISERROR(SEARCH("결근",AI24)))</formula>
    </cfRule>
    <cfRule type="containsText" dxfId="323" priority="8" operator="containsText" text="퇴사">
      <formula>NOT(ISERROR(SEARCH("퇴사",AI24)))</formula>
    </cfRule>
    <cfRule type="containsText" dxfId="322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K31"/>
  <sheetViews>
    <sheetView showGridLines="0" showZeros="0" zoomScale="85" zoomScaleNormal="85" workbookViewId="0">
      <selection activeCell="N5" sqref="N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66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79405.919999999998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10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80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247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79405.919999999998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2406240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2326834.08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220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49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정오례</v>
      </c>
      <c r="C26" s="35" t="s">
        <v>118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21" priority="4" operator="containsText" text="결근">
      <formula>NOT(ISERROR(SEARCH("결근",C24)))</formula>
    </cfRule>
    <cfRule type="containsText" dxfId="320" priority="5" operator="containsText" text="퇴사">
      <formula>NOT(ISERROR(SEARCH("퇴사",C24)))</formula>
    </cfRule>
    <cfRule type="containsText" dxfId="319" priority="6" operator="containsText" text="입사">
      <formula>NOT(ISERROR(SEARCH("입사",C24)))</formula>
    </cfRule>
  </conditionalFormatting>
  <conditionalFormatting sqref="C26:C31">
    <cfRule type="containsText" dxfId="318" priority="1" operator="containsText" text="반차">
      <formula>NOT(ISERROR(SEARCH("반차",C26)))</formula>
    </cfRule>
    <cfRule type="containsText" dxfId="317" priority="2" operator="containsText" text="휴무">
      <formula>NOT(ISERROR(SEARCH("휴무",C26)))</formula>
    </cfRule>
    <cfRule type="containsText" dxfId="316" priority="3" operator="containsText" text="연차">
      <formula>NOT(ISERROR(SEARCH("연차",C26)))</formula>
    </cfRule>
  </conditionalFormatting>
  <conditionalFormatting sqref="AI24:AJ31">
    <cfRule type="containsText" dxfId="315" priority="21" operator="containsText" text="결근">
      <formula>NOT(ISERROR(SEARCH("결근",AI24)))</formula>
    </cfRule>
    <cfRule type="containsText" dxfId="314" priority="22" operator="containsText" text="퇴사">
      <formula>NOT(ISERROR(SEARCH("퇴사",AI24)))</formula>
    </cfRule>
    <cfRule type="containsText" dxfId="313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K31"/>
  <sheetViews>
    <sheetView showGridLines="0" showZeros="0" zoomScale="85" zoomScaleNormal="85" workbookViewId="0">
      <selection activeCell="N5" sqref="N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186</v>
      </c>
      <c r="I4" s="113"/>
      <c r="J4" s="114"/>
      <c r="K4" s="95">
        <f>H4*10320</f>
        <v>1919520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14</v>
      </c>
      <c r="I5" s="113"/>
      <c r="J5" s="114"/>
      <c r="K5" s="95">
        <f>H5*10320*1.5</f>
        <v>216720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79131.360000000001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>
        <v>14000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79131.360000000001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2397920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2318788.64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문영</v>
      </c>
      <c r="C26" s="35" t="s">
        <v>113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4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/>
      <c r="X26" s="55"/>
      <c r="Y26" s="66"/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>
        <v>16</v>
      </c>
      <c r="AF26" s="149"/>
      <c r="AG26" s="149"/>
      <c r="AH26" s="155"/>
      <c r="AI26" s="46"/>
      <c r="AJ26" s="18">
        <f>SUM(D26:AI26)</f>
        <v>186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14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 t="s">
        <v>237</v>
      </c>
      <c r="Q31" s="57"/>
      <c r="R31" s="68"/>
      <c r="S31" s="68"/>
      <c r="T31" s="68" t="s">
        <v>296</v>
      </c>
      <c r="U31" s="68"/>
      <c r="V31" s="151"/>
      <c r="W31" s="151" t="s">
        <v>238</v>
      </c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12" priority="4" operator="containsText" text="결근">
      <formula>NOT(ISERROR(SEARCH("결근",C24)))</formula>
    </cfRule>
    <cfRule type="containsText" dxfId="311" priority="5" operator="containsText" text="퇴사">
      <formula>NOT(ISERROR(SEARCH("퇴사",C24)))</formula>
    </cfRule>
    <cfRule type="containsText" dxfId="310" priority="6" operator="containsText" text="입사">
      <formula>NOT(ISERROR(SEARCH("입사",C24)))</formula>
    </cfRule>
  </conditionalFormatting>
  <conditionalFormatting sqref="C26:C31">
    <cfRule type="containsText" dxfId="309" priority="1" operator="containsText" text="반차">
      <formula>NOT(ISERROR(SEARCH("반차",C26)))</formula>
    </cfRule>
    <cfRule type="containsText" dxfId="308" priority="2" operator="containsText" text="휴무">
      <formula>NOT(ISERROR(SEARCH("휴무",C26)))</formula>
    </cfRule>
    <cfRule type="containsText" dxfId="307" priority="3" operator="containsText" text="연차">
      <formula>NOT(ISERROR(SEARCH("연차",C26)))</formula>
    </cfRule>
  </conditionalFormatting>
  <conditionalFormatting sqref="AI24:AJ31">
    <cfRule type="containsText" dxfId="306" priority="16" operator="containsText" text="결근">
      <formula>NOT(ISERROR(SEARCH("결근",AI24)))</formula>
    </cfRule>
    <cfRule type="containsText" dxfId="305" priority="17" operator="containsText" text="퇴사">
      <formula>NOT(ISERROR(SEARCH("퇴사",AI24)))</formula>
    </cfRule>
    <cfRule type="containsText" dxfId="304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K31"/>
  <sheetViews>
    <sheetView showGridLines="0" showZeros="0" zoomScale="85" zoomScaleNormal="85" workbookViewId="0">
      <selection activeCell="N5" sqref="N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1">
        <f>AJ26</f>
        <v>190</v>
      </c>
      <c r="I4" s="111"/>
      <c r="J4" s="111"/>
      <c r="K4" s="103">
        <f>H4*10320</f>
        <v>1960800</v>
      </c>
      <c r="L4" s="103"/>
      <c r="M4" s="103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1">
        <f>AJ27</f>
        <v>10</v>
      </c>
      <c r="I5" s="111"/>
      <c r="J5" s="111"/>
      <c r="K5" s="103">
        <f>H5*10320*1.5</f>
        <v>154800</v>
      </c>
      <c r="L5" s="103"/>
      <c r="M5" s="103"/>
      <c r="N5" s="94" t="s">
        <v>5</v>
      </c>
      <c r="O5" s="109"/>
      <c r="P5" s="109"/>
      <c r="Q5" s="109"/>
      <c r="R5" s="109"/>
      <c r="S5" s="110"/>
      <c r="T5" s="95">
        <f>H17*3.3%</f>
        <v>86491.680000000008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1"/>
      <c r="I6" s="111"/>
      <c r="J6" s="111"/>
      <c r="K6" s="103">
        <f>H6*10320*1.5</f>
        <v>0</v>
      </c>
      <c r="L6" s="103"/>
      <c r="M6" s="103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1">
        <f>AJ28</f>
        <v>32</v>
      </c>
      <c r="I7" s="111"/>
      <c r="J7" s="111"/>
      <c r="K7" s="103">
        <f>H7*10320*1.5</f>
        <v>495360</v>
      </c>
      <c r="L7" s="103"/>
      <c r="M7" s="103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103">
        <f>ROUNDDOWN(H8*10320*0.5,-1)</f>
        <v>0</v>
      </c>
      <c r="L8" s="103"/>
      <c r="M8" s="103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103"/>
      <c r="I12" s="103"/>
      <c r="J12" s="103"/>
      <c r="K12" s="103"/>
      <c r="L12" s="103"/>
      <c r="M12" s="103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27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103"/>
      <c r="I16" s="103"/>
      <c r="J16" s="103"/>
      <c r="K16" s="103"/>
      <c r="L16" s="103"/>
      <c r="M16" s="103"/>
      <c r="N16" s="102" t="s">
        <v>12</v>
      </c>
      <c r="O16" s="127"/>
      <c r="P16" s="127"/>
      <c r="Q16" s="127"/>
      <c r="R16" s="127"/>
      <c r="S16" s="128"/>
      <c r="T16" s="95">
        <f>SUM(T4:Y11)</f>
        <v>86491.680000000008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74">
        <f>SUM(K4,K5,K6,K7,K8,K9,H10,H11,H12,H13,H14,H15,H16)</f>
        <v>2620960</v>
      </c>
      <c r="I17" s="74"/>
      <c r="J17" s="74"/>
      <c r="K17" s="74"/>
      <c r="L17" s="74"/>
      <c r="M17" s="74"/>
      <c r="N17" s="107" t="s">
        <v>14</v>
      </c>
      <c r="O17" s="131"/>
      <c r="P17" s="131"/>
      <c r="Q17" s="131"/>
      <c r="R17" s="131"/>
      <c r="S17" s="132"/>
      <c r="T17" s="133">
        <f>H17-T16</f>
        <v>2534468.3199999998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박정희</v>
      </c>
      <c r="C26" s="35" t="s">
        <v>168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108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169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162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03" priority="4" operator="containsText" text="결근">
      <formula>NOT(ISERROR(SEARCH("결근",C24)))</formula>
    </cfRule>
    <cfRule type="containsText" dxfId="302" priority="5" operator="containsText" text="퇴사">
      <formula>NOT(ISERROR(SEARCH("퇴사",C24)))</formula>
    </cfRule>
    <cfRule type="containsText" dxfId="301" priority="6" operator="containsText" text="입사">
      <formula>NOT(ISERROR(SEARCH("입사",C24)))</formula>
    </cfRule>
  </conditionalFormatting>
  <conditionalFormatting sqref="C26:C31">
    <cfRule type="containsText" dxfId="300" priority="1" operator="containsText" text="반차">
      <formula>NOT(ISERROR(SEARCH("반차",C26)))</formula>
    </cfRule>
    <cfRule type="containsText" dxfId="299" priority="2" operator="containsText" text="휴무">
      <formula>NOT(ISERROR(SEARCH("휴무",C26)))</formula>
    </cfRule>
    <cfRule type="containsText" dxfId="298" priority="3" operator="containsText" text="연차">
      <formula>NOT(ISERROR(SEARCH("연차",C26)))</formula>
    </cfRule>
  </conditionalFormatting>
  <conditionalFormatting sqref="AI24:AJ31">
    <cfRule type="containsText" dxfId="297" priority="24" operator="containsText" text="결근">
      <formula>NOT(ISERROR(SEARCH("결근",AI24)))</formula>
    </cfRule>
    <cfRule type="containsText" dxfId="296" priority="25" operator="containsText" text="퇴사">
      <formula>NOT(ISERROR(SEARCH("퇴사",AI24)))</formula>
    </cfRule>
    <cfRule type="containsText" dxfId="295" priority="26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K31"/>
  <sheetViews>
    <sheetView showGridLines="0" showZeros="0" zoomScale="85" zoomScaleNormal="85" workbookViewId="0">
      <selection activeCell="N5" sqref="N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188</v>
      </c>
      <c r="I4" s="113"/>
      <c r="J4" s="114"/>
      <c r="K4" s="95">
        <f>H4*10320</f>
        <v>1940160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14</v>
      </c>
      <c r="I5" s="113"/>
      <c r="J5" s="114"/>
      <c r="K5" s="95">
        <f>H5*10320*1.5</f>
        <v>216720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83899.199999999997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108" t="s">
        <v>250</v>
      </c>
      <c r="C13" s="109"/>
      <c r="D13" s="109"/>
      <c r="E13" s="109"/>
      <c r="F13" s="109"/>
      <c r="G13" s="110"/>
      <c r="H13" s="95">
        <v>14000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83899.199999999997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2542400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2458500.7999999998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226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임정숙</v>
      </c>
      <c r="C26" s="35" t="s">
        <v>152</v>
      </c>
      <c r="D26" s="63">
        <v>8</v>
      </c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4</v>
      </c>
      <c r="AE26" s="58"/>
      <c r="AF26" s="149"/>
      <c r="AG26" s="149"/>
      <c r="AH26" s="155"/>
      <c r="AI26" s="46"/>
      <c r="AJ26" s="18">
        <f>SUM(D26:AI26)</f>
        <v>188</v>
      </c>
    </row>
    <row r="27" spans="1:36" ht="16.5">
      <c r="A27" s="139"/>
      <c r="B27" s="82"/>
      <c r="C27" s="23" t="s">
        <v>108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14</v>
      </c>
    </row>
    <row r="28" spans="1:36" ht="16.5">
      <c r="A28" s="139"/>
      <c r="B28" s="82"/>
      <c r="C28" s="23" t="s">
        <v>153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154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155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156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 t="s">
        <v>237</v>
      </c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94" priority="4" operator="containsText" text="결근">
      <formula>NOT(ISERROR(SEARCH("결근",C24)))</formula>
    </cfRule>
    <cfRule type="containsText" dxfId="293" priority="5" operator="containsText" text="퇴사">
      <formula>NOT(ISERROR(SEARCH("퇴사",C24)))</formula>
    </cfRule>
    <cfRule type="containsText" dxfId="292" priority="6" operator="containsText" text="입사">
      <formula>NOT(ISERROR(SEARCH("입사",C24)))</formula>
    </cfRule>
  </conditionalFormatting>
  <conditionalFormatting sqref="C26:C31">
    <cfRule type="containsText" dxfId="291" priority="1" operator="containsText" text="반차">
      <formula>NOT(ISERROR(SEARCH("반차",C26)))</formula>
    </cfRule>
    <cfRule type="containsText" dxfId="290" priority="2" operator="containsText" text="휴무">
      <formula>NOT(ISERROR(SEARCH("휴무",C26)))</formula>
    </cfRule>
    <cfRule type="containsText" dxfId="289" priority="3" operator="containsText" text="연차">
      <formula>NOT(ISERROR(SEARCH("연차",C26)))</formula>
    </cfRule>
  </conditionalFormatting>
  <conditionalFormatting sqref="AI24:AJ31">
    <cfRule type="containsText" dxfId="288" priority="21" operator="containsText" text="결근">
      <formula>NOT(ISERROR(SEARCH("결근",AI24)))</formula>
    </cfRule>
    <cfRule type="containsText" dxfId="287" priority="22" operator="containsText" text="퇴사">
      <formula>NOT(ISERROR(SEARCH("퇴사",AI24)))</formula>
    </cfRule>
    <cfRule type="containsText" dxfId="286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K31"/>
  <sheetViews>
    <sheetView showGridLines="0" showZeros="0" zoomScale="85" zoomScaleNormal="85" workbookViewId="0">
      <selection activeCell="N5" sqref="N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174</v>
      </c>
      <c r="I4" s="113"/>
      <c r="J4" s="114"/>
      <c r="K4" s="95">
        <f>H4*10320</f>
        <v>1795680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73956.960000000006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80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73956.960000000006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2241120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2167163.04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228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한부덕</v>
      </c>
      <c r="C26" s="35" t="s">
        <v>129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/>
      <c r="W26" s="149">
        <v>8</v>
      </c>
      <c r="X26" s="55"/>
      <c r="Y26" s="66"/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174</v>
      </c>
    </row>
    <row r="27" spans="1:36" ht="16.5">
      <c r="A27" s="139"/>
      <c r="B27" s="82"/>
      <c r="C27" s="23" t="s">
        <v>130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133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134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131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135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 t="s">
        <v>238</v>
      </c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285" priority="4" operator="containsText" text="결근">
      <formula>NOT(ISERROR(SEARCH("결근",C24)))</formula>
    </cfRule>
    <cfRule type="containsText" dxfId="284" priority="5" operator="containsText" text="퇴사">
      <formula>NOT(ISERROR(SEARCH("퇴사",C24)))</formula>
    </cfRule>
    <cfRule type="containsText" dxfId="283" priority="6" operator="containsText" text="입사">
      <formula>NOT(ISERROR(SEARCH("입사",C24)))</formula>
    </cfRule>
  </conditionalFormatting>
  <conditionalFormatting sqref="C26:C31">
    <cfRule type="containsText" dxfId="282" priority="1" operator="containsText" text="반차">
      <formula>NOT(ISERROR(SEARCH("반차",C26)))</formula>
    </cfRule>
    <cfRule type="containsText" dxfId="281" priority="2" operator="containsText" text="휴무">
      <formula>NOT(ISERROR(SEARCH("휴무",C26)))</formula>
    </cfRule>
    <cfRule type="containsText" dxfId="280" priority="3" operator="containsText" text="연차">
      <formula>NOT(ISERROR(SEARCH("연차",C26)))</formula>
    </cfRule>
  </conditionalFormatting>
  <conditionalFormatting sqref="AI24:AJ31">
    <cfRule type="containsText" dxfId="279" priority="21" operator="containsText" text="결근">
      <formula>NOT(ISERROR(SEARCH("결근",AI24)))</formula>
    </cfRule>
    <cfRule type="containsText" dxfId="278" priority="22" operator="containsText" text="퇴사">
      <formula>NOT(ISERROR(SEARCH("퇴사",AI24)))</formula>
    </cfRule>
    <cfRule type="containsText" dxfId="277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K31"/>
  <sheetViews>
    <sheetView showGridLines="0" showZeros="0" zoomScale="85" zoomScaleNormal="85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67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182</v>
      </c>
      <c r="I4" s="113"/>
      <c r="J4" s="114"/>
      <c r="K4" s="95">
        <f>H4*10320</f>
        <v>1878240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77703.12000000001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18</v>
      </c>
      <c r="I7" s="113"/>
      <c r="J7" s="114"/>
      <c r="K7" s="95">
        <f>H7*10320*1.5</f>
        <v>278640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249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77703.12000000001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2354640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2276930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227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52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후인민뉴</v>
      </c>
      <c r="C26" s="35" t="s">
        <v>129</v>
      </c>
      <c r="D26" s="63"/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182</v>
      </c>
    </row>
    <row r="27" spans="1:36" ht="16.5">
      <c r="A27" s="139"/>
      <c r="B27" s="82"/>
      <c r="C27" s="23" t="s">
        <v>130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>
        <v>2</v>
      </c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133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2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18</v>
      </c>
    </row>
    <row r="29" spans="1:36" ht="16.5">
      <c r="A29" s="139"/>
      <c r="B29" s="82"/>
      <c r="C29" s="23" t="s">
        <v>134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131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135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76" priority="4" operator="containsText" text="결근">
      <formula>NOT(ISERROR(SEARCH("결근",C24)))</formula>
    </cfRule>
    <cfRule type="containsText" dxfId="275" priority="5" operator="containsText" text="퇴사">
      <formula>NOT(ISERROR(SEARCH("퇴사",C24)))</formula>
    </cfRule>
    <cfRule type="containsText" dxfId="274" priority="6" operator="containsText" text="입사">
      <formula>NOT(ISERROR(SEARCH("입사",C24)))</formula>
    </cfRule>
  </conditionalFormatting>
  <conditionalFormatting sqref="C26:C31">
    <cfRule type="containsText" dxfId="273" priority="1" operator="containsText" text="반차">
      <formula>NOT(ISERROR(SEARCH("반차",C26)))</formula>
    </cfRule>
    <cfRule type="containsText" dxfId="272" priority="2" operator="containsText" text="휴무">
      <formula>NOT(ISERROR(SEARCH("휴무",C26)))</formula>
    </cfRule>
    <cfRule type="containsText" dxfId="271" priority="3" operator="containsText" text="연차">
      <formula>NOT(ISERROR(SEARCH("연차",C26)))</formula>
    </cfRule>
  </conditionalFormatting>
  <conditionalFormatting sqref="AI24:AJ31">
    <cfRule type="containsText" dxfId="270" priority="21" operator="containsText" text="결근">
      <formula>NOT(ISERROR(SEARCH("결근",AI24)))</formula>
    </cfRule>
    <cfRule type="containsText" dxfId="269" priority="22" operator="containsText" text="퇴사">
      <formula>NOT(ISERROR(SEARCH("퇴사",AI24)))</formula>
    </cfRule>
    <cfRule type="containsText" dxfId="268" priority="2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17" t="s">
        <v>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 t="s">
        <v>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2:37" ht="16.5" customHeight="1">
      <c r="B4" s="92" t="s">
        <v>2</v>
      </c>
      <c r="C4" s="93"/>
      <c r="D4" s="93"/>
      <c r="E4" s="93"/>
      <c r="F4" s="93"/>
      <c r="G4" s="94"/>
      <c r="H4" s="112">
        <f>AJ26</f>
        <v>14</v>
      </c>
      <c r="I4" s="113"/>
      <c r="J4" s="114"/>
      <c r="K4" s="95">
        <f>H4*10320</f>
        <v>144480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1.5</v>
      </c>
      <c r="I5" s="113"/>
      <c r="J5" s="114"/>
      <c r="K5" s="95">
        <f>H5*10320*1.5</f>
        <v>23220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1500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5"/>
      <c r="AA10" s="5"/>
      <c r="AB10" s="5"/>
      <c r="AC10" s="5"/>
      <c r="AD10" s="1"/>
      <c r="AE10" s="1"/>
      <c r="AF10" s="1"/>
      <c r="AG10" s="1"/>
      <c r="AH10" s="1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92" t="s">
        <v>75</v>
      </c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103"/>
      <c r="U12" s="103"/>
      <c r="V12" s="103"/>
      <c r="W12" s="103"/>
      <c r="X12" s="103"/>
      <c r="Y12" s="104"/>
      <c r="Z12" s="2"/>
      <c r="AA12" s="2"/>
    </row>
    <row r="13" spans="2:37" ht="16.5" customHeight="1">
      <c r="B13" s="92" t="s">
        <v>241</v>
      </c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7"/>
      <c r="N13" s="94"/>
      <c r="O13" s="109"/>
      <c r="P13" s="109"/>
      <c r="Q13" s="109"/>
      <c r="R13" s="109"/>
      <c r="S13" s="110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92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94"/>
      <c r="C15" s="109"/>
      <c r="D15" s="109"/>
      <c r="E15" s="109"/>
      <c r="F15" s="109"/>
      <c r="G15" s="110"/>
      <c r="H15" s="95"/>
      <c r="I15" s="96"/>
      <c r="J15" s="96"/>
      <c r="K15" s="96"/>
      <c r="L15" s="96"/>
      <c r="M15" s="97"/>
      <c r="N15" s="101"/>
      <c r="O15" s="101"/>
      <c r="P15" s="101"/>
      <c r="Q15" s="101"/>
      <c r="R15" s="101"/>
      <c r="S15" s="101"/>
      <c r="T15" s="103"/>
      <c r="U15" s="103"/>
      <c r="V15" s="103"/>
      <c r="W15" s="103"/>
      <c r="X15" s="103"/>
      <c r="Y15" s="104"/>
      <c r="Z15" s="2"/>
      <c r="AA15" s="2"/>
    </row>
    <row r="16" spans="2:37" ht="16.5">
      <c r="B16" s="100"/>
      <c r="C16" s="101"/>
      <c r="D16" s="101"/>
      <c r="E16" s="101"/>
      <c r="F16" s="101"/>
      <c r="G16" s="102"/>
      <c r="H16" s="95"/>
      <c r="I16" s="96"/>
      <c r="J16" s="96"/>
      <c r="K16" s="96"/>
      <c r="L16" s="96"/>
      <c r="M16" s="97"/>
      <c r="N16" s="101" t="s">
        <v>12</v>
      </c>
      <c r="O16" s="101"/>
      <c r="P16" s="101"/>
      <c r="Q16" s="101"/>
      <c r="R16" s="101"/>
      <c r="S16" s="101"/>
      <c r="T16" s="103">
        <f>SUM(T4:Y11)</f>
        <v>1500</v>
      </c>
      <c r="U16" s="103"/>
      <c r="V16" s="103"/>
      <c r="W16" s="103"/>
      <c r="X16" s="103"/>
      <c r="Y16" s="104"/>
      <c r="Z16" s="5"/>
      <c r="AA16" s="5"/>
    </row>
    <row r="17" spans="1:36" ht="17.25" thickBot="1">
      <c r="B17" s="105" t="s">
        <v>13</v>
      </c>
      <c r="C17" s="106"/>
      <c r="D17" s="106"/>
      <c r="E17" s="106"/>
      <c r="F17" s="106"/>
      <c r="G17" s="107"/>
      <c r="H17" s="133">
        <f>SUM(K4,K5,K6,K7,K8,K9,H10,H11,H12,H13,H14,H15,H16)</f>
        <v>167700</v>
      </c>
      <c r="I17" s="134"/>
      <c r="J17" s="134"/>
      <c r="K17" s="134"/>
      <c r="L17" s="134"/>
      <c r="M17" s="135"/>
      <c r="N17" s="106" t="s">
        <v>14</v>
      </c>
      <c r="O17" s="106"/>
      <c r="P17" s="106"/>
      <c r="Q17" s="106"/>
      <c r="R17" s="106"/>
      <c r="S17" s="106"/>
      <c r="T17" s="74">
        <f>H17-T16</f>
        <v>166200</v>
      </c>
      <c r="U17" s="74"/>
      <c r="V17" s="74"/>
      <c r="W17" s="74"/>
      <c r="X17" s="74"/>
      <c r="Y17" s="75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6.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76"/>
      <c r="R21" s="76"/>
      <c r="S21" s="76"/>
      <c r="T21" s="86" t="s">
        <v>229</v>
      </c>
      <c r="U21" s="86"/>
      <c r="V21" s="86"/>
      <c r="W21" s="86"/>
      <c r="Z21" s="5"/>
      <c r="AA21" s="4"/>
    </row>
    <row r="22" spans="1:36" ht="16.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76"/>
      <c r="Q22" s="76"/>
      <c r="R22" s="76"/>
      <c r="S22" s="76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87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79" t="s">
        <v>19</v>
      </c>
    </row>
    <row r="25" spans="1:36" ht="16.5" customHeight="1" thickBot="1">
      <c r="A25" s="87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>
      <c r="A26" s="81"/>
      <c r="B26" s="82" t="str">
        <f>T21</f>
        <v>송순옥</v>
      </c>
      <c r="C26" s="35" t="s">
        <v>129</v>
      </c>
      <c r="D26" s="63"/>
      <c r="E26" s="149">
        <v>6</v>
      </c>
      <c r="F26" s="149">
        <v>8</v>
      </c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14</v>
      </c>
    </row>
    <row r="27" spans="1:36" ht="16.5">
      <c r="A27" s="81"/>
      <c r="B27" s="82"/>
      <c r="C27" s="23" t="s">
        <v>130</v>
      </c>
      <c r="D27" s="64"/>
      <c r="E27" s="150"/>
      <c r="F27" s="150">
        <v>1.5</v>
      </c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1.5</v>
      </c>
    </row>
    <row r="28" spans="1:36" ht="16.5">
      <c r="A28" s="81"/>
      <c r="B28" s="82"/>
      <c r="C28" s="23" t="s">
        <v>133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81"/>
      <c r="B29" s="82"/>
      <c r="C29" s="23" t="s">
        <v>134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131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135</v>
      </c>
      <c r="D31" s="65"/>
      <c r="E31" s="151"/>
      <c r="F31" s="151" t="s">
        <v>239</v>
      </c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67" priority="4" operator="containsText" text="결근">
      <formula>NOT(ISERROR(SEARCH("결근",C24)))</formula>
    </cfRule>
    <cfRule type="containsText" dxfId="266" priority="5" operator="containsText" text="퇴사">
      <formula>NOT(ISERROR(SEARCH("퇴사",C24)))</formula>
    </cfRule>
    <cfRule type="containsText" dxfId="265" priority="6" operator="containsText" text="입사">
      <formula>NOT(ISERROR(SEARCH("입사",C24)))</formula>
    </cfRule>
  </conditionalFormatting>
  <conditionalFormatting sqref="C26:C31">
    <cfRule type="containsText" dxfId="264" priority="1" operator="containsText" text="반차">
      <formula>NOT(ISERROR(SEARCH("반차",C26)))</formula>
    </cfRule>
    <cfRule type="containsText" dxfId="263" priority="2" operator="containsText" text="휴무">
      <formula>NOT(ISERROR(SEARCH("휴무",C26)))</formula>
    </cfRule>
    <cfRule type="containsText" dxfId="262" priority="3" operator="containsText" text="연차">
      <formula>NOT(ISERROR(SEARCH("연차",C26)))</formula>
    </cfRule>
  </conditionalFormatting>
  <conditionalFormatting sqref="AI24:AJ31">
    <cfRule type="containsText" dxfId="261" priority="16" operator="containsText" text="결근">
      <formula>NOT(ISERROR(SEARCH("결근",AI24)))</formula>
    </cfRule>
    <cfRule type="containsText" dxfId="260" priority="17" operator="containsText" text="퇴사">
      <formula>NOT(ISERROR(SEARCH("퇴사",AI24)))</formula>
    </cfRule>
    <cfRule type="containsText" dxfId="259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K31"/>
  <sheetViews>
    <sheetView showGridLines="0" showZeros="0" zoomScale="85" zoomScaleNormal="85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2" width="4.625" style="1" customWidth="1"/>
    <col min="23" max="23" width="3.5" style="1" customWidth="1"/>
    <col min="2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12</v>
      </c>
      <c r="I5" s="113"/>
      <c r="J5" s="114"/>
      <c r="K5" s="95">
        <f>H5*10320*1.5</f>
        <v>185760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87579.36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87579.36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2653920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2566340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146" t="s">
        <v>230</v>
      </c>
      <c r="U21" s="86"/>
      <c r="V21" s="86"/>
      <c r="W21" s="86"/>
      <c r="Z21" s="5"/>
      <c r="AA21" s="4"/>
    </row>
    <row r="22" spans="1:36" ht="42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88" t="s">
        <v>16</v>
      </c>
      <c r="C24" s="90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79" t="s">
        <v>19</v>
      </c>
    </row>
    <row r="25" spans="1:36" ht="16.5" customHeight="1" thickBot="1">
      <c r="A25" s="140"/>
      <c r="B25" s="89"/>
      <c r="C25" s="91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80"/>
    </row>
    <row r="26" spans="1:36" ht="16.5" customHeight="1">
      <c r="A26" s="139"/>
      <c r="B26" s="82" t="str">
        <f>T21</f>
        <v>응우옌티
휴옌짱</v>
      </c>
      <c r="C26" s="35" t="s">
        <v>113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130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12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134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58" priority="4" operator="containsText" text="결근">
      <formula>NOT(ISERROR(SEARCH("결근",C24)))</formula>
    </cfRule>
    <cfRule type="containsText" dxfId="257" priority="5" operator="containsText" text="퇴사">
      <formula>NOT(ISERROR(SEARCH("퇴사",C24)))</formula>
    </cfRule>
    <cfRule type="containsText" dxfId="256" priority="6" operator="containsText" text="입사">
      <formula>NOT(ISERROR(SEARCH("입사",C24)))</formula>
    </cfRule>
  </conditionalFormatting>
  <conditionalFormatting sqref="C26:C31">
    <cfRule type="containsText" dxfId="255" priority="1" operator="containsText" text="반차">
      <formula>NOT(ISERROR(SEARCH("반차",C26)))</formula>
    </cfRule>
    <cfRule type="containsText" dxfId="254" priority="2" operator="containsText" text="휴무">
      <formula>NOT(ISERROR(SEARCH("휴무",C26)))</formula>
    </cfRule>
    <cfRule type="containsText" dxfId="253" priority="3" operator="containsText" text="연차">
      <formula>NOT(ISERROR(SEARCH("연차",C26)))</formula>
    </cfRule>
  </conditionalFormatting>
  <conditionalFormatting sqref="AI24:AJ31">
    <cfRule type="containsText" dxfId="252" priority="7" operator="containsText" text="결근">
      <formula>NOT(ISERROR(SEARCH("결근",AI24)))</formula>
    </cfRule>
    <cfRule type="containsText" dxfId="251" priority="8" operator="containsText" text="퇴사">
      <formula>NOT(ISERROR(SEARCH("퇴사",AI24)))</formula>
    </cfRule>
    <cfRule type="containsText" dxfId="250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K31"/>
  <sheetViews>
    <sheetView showGridLines="0" showZeros="0" zoomScale="85" zoomScaleNormal="85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63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174</v>
      </c>
      <c r="I4" s="113"/>
      <c r="J4" s="114"/>
      <c r="K4" s="95">
        <f>H4*10320</f>
        <v>1795680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4</v>
      </c>
      <c r="I5" s="113"/>
      <c r="J5" s="114"/>
      <c r="K5" s="95">
        <f>H5*10320*1.5</f>
        <v>61920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69606.240000000005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>
        <v>301000</v>
      </c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370606.24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2109280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1738670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231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50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김보아</v>
      </c>
      <c r="C26" s="35" t="s">
        <v>136</v>
      </c>
      <c r="D26" s="63"/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/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174</v>
      </c>
    </row>
    <row r="27" spans="1:36" ht="16.5">
      <c r="A27" s="139"/>
      <c r="B27" s="82"/>
      <c r="C27" s="23" t="s">
        <v>148</v>
      </c>
      <c r="D27" s="64"/>
      <c r="E27" s="150"/>
      <c r="F27" s="150">
        <v>2</v>
      </c>
      <c r="G27" s="150"/>
      <c r="H27" s="150">
        <v>2</v>
      </c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4</v>
      </c>
    </row>
    <row r="28" spans="1:36" ht="16.5">
      <c r="A28" s="139"/>
      <c r="B28" s="82"/>
      <c r="C28" s="23" t="s">
        <v>149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145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150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151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 t="s">
        <v>238</v>
      </c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49" priority="4" operator="containsText" text="결근">
      <formula>NOT(ISERROR(SEARCH("결근",C24)))</formula>
    </cfRule>
    <cfRule type="containsText" dxfId="248" priority="5" operator="containsText" text="퇴사">
      <formula>NOT(ISERROR(SEARCH("퇴사",C24)))</formula>
    </cfRule>
    <cfRule type="containsText" dxfId="247" priority="6" operator="containsText" text="입사">
      <formula>NOT(ISERROR(SEARCH("입사",C24)))</formula>
    </cfRule>
  </conditionalFormatting>
  <conditionalFormatting sqref="C26:C31">
    <cfRule type="containsText" dxfId="246" priority="1" operator="containsText" text="반차">
      <formula>NOT(ISERROR(SEARCH("반차",C26)))</formula>
    </cfRule>
    <cfRule type="containsText" dxfId="245" priority="2" operator="containsText" text="휴무">
      <formula>NOT(ISERROR(SEARCH("휴무",C26)))</formula>
    </cfRule>
    <cfRule type="containsText" dxfId="244" priority="3" operator="containsText" text="연차">
      <formula>NOT(ISERROR(SEARCH("연차",C26)))</formula>
    </cfRule>
  </conditionalFormatting>
  <conditionalFormatting sqref="AI24:AJ31">
    <cfRule type="containsText" dxfId="243" priority="16" operator="containsText" text="결근">
      <formula>NOT(ISERROR(SEARCH("결근",AI24)))</formula>
    </cfRule>
    <cfRule type="containsText" dxfId="242" priority="17" operator="containsText" text="퇴사">
      <formula>NOT(ISERROR(SEARCH("퇴사",AI24)))</formula>
    </cfRule>
    <cfRule type="containsText" dxfId="241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K31"/>
  <sheetViews>
    <sheetView showGridLines="0" showZeros="0" zoomScale="85" zoomScaleNormal="85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63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10</v>
      </c>
      <c r="I5" s="113"/>
      <c r="J5" s="114"/>
      <c r="K5" s="95">
        <f>H5*10320*1.5</f>
        <v>154800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82404.960000000006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24</v>
      </c>
      <c r="I7" s="113"/>
      <c r="J7" s="114"/>
      <c r="K7" s="95">
        <f>H7*10320*1.5</f>
        <v>371520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70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82404.960000000006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2497120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2414710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232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포브스레이멘</v>
      </c>
      <c r="C26" s="35" t="s">
        <v>129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130</v>
      </c>
      <c r="D27" s="64"/>
      <c r="E27" s="150"/>
      <c r="F27" s="150">
        <v>2</v>
      </c>
      <c r="G27" s="150">
        <v>2</v>
      </c>
      <c r="H27" s="150">
        <v>2</v>
      </c>
      <c r="I27" s="150"/>
      <c r="J27" s="56"/>
      <c r="K27" s="67"/>
      <c r="L27" s="150"/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24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40" priority="4" operator="containsText" text="결근">
      <formula>NOT(ISERROR(SEARCH("결근",C24)))</formula>
    </cfRule>
    <cfRule type="containsText" dxfId="239" priority="5" operator="containsText" text="퇴사">
      <formula>NOT(ISERROR(SEARCH("퇴사",C24)))</formula>
    </cfRule>
    <cfRule type="containsText" dxfId="238" priority="6" operator="containsText" text="입사">
      <formula>NOT(ISERROR(SEARCH("입사",C24)))</formula>
    </cfRule>
  </conditionalFormatting>
  <conditionalFormatting sqref="C26:C31">
    <cfRule type="containsText" dxfId="237" priority="1" operator="containsText" text="반차">
      <formula>NOT(ISERROR(SEARCH("반차",C26)))</formula>
    </cfRule>
    <cfRule type="containsText" dxfId="236" priority="2" operator="containsText" text="휴무">
      <formula>NOT(ISERROR(SEARCH("휴무",C26)))</formula>
    </cfRule>
    <cfRule type="containsText" dxfId="235" priority="3" operator="containsText" text="연차">
      <formula>NOT(ISERROR(SEARCH("연차",C26)))</formula>
    </cfRule>
  </conditionalFormatting>
  <conditionalFormatting sqref="AI24:AJ31">
    <cfRule type="containsText" dxfId="234" priority="16" operator="containsText" text="결근">
      <formula>NOT(ISERROR(SEARCH("결근",AI24)))</formula>
    </cfRule>
    <cfRule type="containsText" dxfId="233" priority="17" operator="containsText" text="퇴사">
      <formula>NOT(ISERROR(SEARCH("퇴사",AI24)))</formula>
    </cfRule>
    <cfRule type="containsText" dxfId="232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K31"/>
  <sheetViews>
    <sheetView showGridLines="0" showZeros="0" zoomScale="85" zoomScaleNormal="85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190</v>
      </c>
      <c r="I4" s="113"/>
      <c r="J4" s="114"/>
      <c r="K4" s="95">
        <f>H4*10320</f>
        <v>1960800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8</v>
      </c>
      <c r="I5" s="113"/>
      <c r="J5" s="114"/>
      <c r="K5" s="95">
        <f>H5*10320*1.5</f>
        <v>123840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69057.12000000001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68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8000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69057.12000000001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2092640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2023580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율리야</v>
      </c>
      <c r="C26" s="35" t="s">
        <v>143</v>
      </c>
      <c r="D26" s="63">
        <v>8</v>
      </c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190</v>
      </c>
    </row>
    <row r="27" spans="1:36" ht="16.5">
      <c r="A27" s="139"/>
      <c r="B27" s="82"/>
      <c r="C27" s="23" t="s">
        <v>144</v>
      </c>
      <c r="D27" s="64"/>
      <c r="E27" s="150"/>
      <c r="F27" s="150"/>
      <c r="G27" s="150">
        <v>2</v>
      </c>
      <c r="H27" s="150">
        <v>2</v>
      </c>
      <c r="I27" s="150"/>
      <c r="J27" s="56"/>
      <c r="K27" s="67"/>
      <c r="L27" s="150">
        <v>2</v>
      </c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8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145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146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147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31" priority="4" operator="containsText" text="결근">
      <formula>NOT(ISERROR(SEARCH("결근",C24)))</formula>
    </cfRule>
    <cfRule type="containsText" dxfId="230" priority="5" operator="containsText" text="퇴사">
      <formula>NOT(ISERROR(SEARCH("퇴사",C24)))</formula>
    </cfRule>
    <cfRule type="containsText" dxfId="229" priority="6" operator="containsText" text="입사">
      <formula>NOT(ISERROR(SEARCH("입사",C24)))</formula>
    </cfRule>
  </conditionalFormatting>
  <conditionalFormatting sqref="C26:C31">
    <cfRule type="containsText" dxfId="228" priority="1" operator="containsText" text="반차">
      <formula>NOT(ISERROR(SEARCH("반차",C26)))</formula>
    </cfRule>
    <cfRule type="containsText" dxfId="227" priority="2" operator="containsText" text="휴무">
      <formula>NOT(ISERROR(SEARCH("휴무",C26)))</formula>
    </cfRule>
    <cfRule type="containsText" dxfId="226" priority="3" operator="containsText" text="연차">
      <formula>NOT(ISERROR(SEARCH("연차",C26)))</formula>
    </cfRule>
  </conditionalFormatting>
  <conditionalFormatting sqref="AI24:AJ31">
    <cfRule type="containsText" dxfId="225" priority="16" operator="containsText" text="결근">
      <formula>NOT(ISERROR(SEARCH("결근",AI24)))</formula>
    </cfRule>
    <cfRule type="containsText" dxfId="224" priority="17" operator="containsText" text="퇴사">
      <formula>NOT(ISERROR(SEARCH("퇴사",AI24)))</formula>
    </cfRule>
    <cfRule type="containsText" dxfId="223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K31"/>
  <sheetViews>
    <sheetView showGridLines="0" showZeros="0" zoomScale="85" zoomScaleNormal="85" workbookViewId="0">
      <selection activeCell="N4" sqref="N4:Y6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158</v>
      </c>
      <c r="I4" s="113"/>
      <c r="J4" s="114"/>
      <c r="K4" s="95">
        <f>H4*10320</f>
        <v>1630560</v>
      </c>
      <c r="L4" s="96"/>
      <c r="M4" s="97"/>
      <c r="N4" s="94" t="s">
        <v>298</v>
      </c>
      <c r="O4" s="109"/>
      <c r="P4" s="109"/>
      <c r="Q4" s="109"/>
      <c r="R4" s="109"/>
      <c r="S4" s="110"/>
      <c r="T4" s="95">
        <f>ROUNDDOWN(((H17/7)-150000)*2.7%,-1)*7</f>
        <v>15610</v>
      </c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299</v>
      </c>
      <c r="O5" s="109"/>
      <c r="P5" s="109"/>
      <c r="Q5" s="109"/>
      <c r="R5" s="109"/>
      <c r="S5" s="110"/>
      <c r="T5" s="95">
        <f>ROUNDDOWN(T4*10%,-1)</f>
        <v>1560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14670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70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31840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1630560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1598720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김미선</v>
      </c>
      <c r="C26" s="35" t="s">
        <v>136</v>
      </c>
      <c r="D26" s="63"/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/>
      <c r="AA26" s="149"/>
      <c r="AB26" s="149">
        <v>8</v>
      </c>
      <c r="AC26" s="149">
        <v>8</v>
      </c>
      <c r="AD26" s="149"/>
      <c r="AE26" s="58"/>
      <c r="AF26" s="149"/>
      <c r="AG26" s="149"/>
      <c r="AH26" s="155"/>
      <c r="AI26" s="46"/>
      <c r="AJ26" s="18">
        <f>SUM(D26:AI26)</f>
        <v>158</v>
      </c>
    </row>
    <row r="27" spans="1:36" ht="16.5">
      <c r="A27" s="139"/>
      <c r="B27" s="82"/>
      <c r="C27" s="23" t="s">
        <v>130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133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134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131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135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 t="s">
        <v>238</v>
      </c>
      <c r="AA31" s="151" t="s">
        <v>238</v>
      </c>
      <c r="AB31" s="151"/>
      <c r="AC31" s="151"/>
      <c r="AD31" s="151" t="s">
        <v>238</v>
      </c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22" priority="4" operator="containsText" text="결근">
      <formula>NOT(ISERROR(SEARCH("결근",C24)))</formula>
    </cfRule>
    <cfRule type="containsText" dxfId="221" priority="5" operator="containsText" text="퇴사">
      <formula>NOT(ISERROR(SEARCH("퇴사",C24)))</formula>
    </cfRule>
    <cfRule type="containsText" dxfId="220" priority="6" operator="containsText" text="입사">
      <formula>NOT(ISERROR(SEARCH("입사",C24)))</formula>
    </cfRule>
  </conditionalFormatting>
  <conditionalFormatting sqref="C26:C31">
    <cfRule type="containsText" dxfId="219" priority="1" operator="containsText" text="반차">
      <formula>NOT(ISERROR(SEARCH("반차",C26)))</formula>
    </cfRule>
    <cfRule type="containsText" dxfId="218" priority="2" operator="containsText" text="휴무">
      <formula>NOT(ISERROR(SEARCH("휴무",C26)))</formula>
    </cfRule>
    <cfRule type="containsText" dxfId="217" priority="3" operator="containsText" text="연차">
      <formula>NOT(ISERROR(SEARCH("연차",C26)))</formula>
    </cfRule>
  </conditionalFormatting>
  <conditionalFormatting sqref="AI24:AJ31">
    <cfRule type="containsText" dxfId="216" priority="16" operator="containsText" text="결근">
      <formula>NOT(ISERROR(SEARCH("결근",AI24)))</formula>
    </cfRule>
    <cfRule type="containsText" dxfId="215" priority="17" operator="containsText" text="퇴사">
      <formula>NOT(ISERROR(SEARCH("퇴사",AI24)))</formula>
    </cfRule>
    <cfRule type="containsText" dxfId="214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K31"/>
  <sheetViews>
    <sheetView showGridLines="0" showZeros="0" zoomScale="85" zoomScaleNormal="85" workbookViewId="0">
      <selection activeCell="T17" sqref="T17:Y17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184</v>
      </c>
      <c r="I4" s="113"/>
      <c r="J4" s="114"/>
      <c r="K4" s="95">
        <f>H4*10320</f>
        <v>1898880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10</v>
      </c>
      <c r="I5" s="113"/>
      <c r="J5" s="114"/>
      <c r="K5" s="95">
        <f>H5*10320*1.5</f>
        <v>154800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84448.320000000007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80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10000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84448.320000000007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2559040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ROUNDDOWN(H17-T16,-1)</f>
        <v>2474590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266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진수연</v>
      </c>
      <c r="C26" s="35" t="s">
        <v>129</v>
      </c>
      <c r="D26" s="63"/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184</v>
      </c>
    </row>
    <row r="27" spans="1:36" ht="16.5">
      <c r="A27" s="139"/>
      <c r="B27" s="82"/>
      <c r="C27" s="23" t="s">
        <v>130</v>
      </c>
      <c r="D27" s="64"/>
      <c r="E27" s="150">
        <v>2</v>
      </c>
      <c r="F27" s="150">
        <v>2</v>
      </c>
      <c r="G27" s="150"/>
      <c r="H27" s="150">
        <v>2</v>
      </c>
      <c r="I27" s="150"/>
      <c r="J27" s="56"/>
      <c r="K27" s="67"/>
      <c r="L27" s="150">
        <v>2</v>
      </c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10</v>
      </c>
    </row>
    <row r="28" spans="1:36" ht="16.5">
      <c r="A28" s="139"/>
      <c r="B28" s="82"/>
      <c r="C28" s="23" t="s">
        <v>133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135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13" priority="4" operator="containsText" text="결근">
      <formula>NOT(ISERROR(SEARCH("결근",C24)))</formula>
    </cfRule>
    <cfRule type="containsText" dxfId="212" priority="5" operator="containsText" text="퇴사">
      <formula>NOT(ISERROR(SEARCH("퇴사",C24)))</formula>
    </cfRule>
    <cfRule type="containsText" dxfId="211" priority="6" operator="containsText" text="입사">
      <formula>NOT(ISERROR(SEARCH("입사",C24)))</formula>
    </cfRule>
  </conditionalFormatting>
  <conditionalFormatting sqref="C26:C31">
    <cfRule type="containsText" dxfId="210" priority="1" operator="containsText" text="반차">
      <formula>NOT(ISERROR(SEARCH("반차",C26)))</formula>
    </cfRule>
    <cfRule type="containsText" dxfId="209" priority="2" operator="containsText" text="휴무">
      <formula>NOT(ISERROR(SEARCH("휴무",C26)))</formula>
    </cfRule>
    <cfRule type="containsText" dxfId="208" priority="3" operator="containsText" text="연차">
      <formula>NOT(ISERROR(SEARCH("연차",C26)))</formula>
    </cfRule>
  </conditionalFormatting>
  <conditionalFormatting sqref="AI24:AJ31">
    <cfRule type="containsText" dxfId="207" priority="16" operator="containsText" text="결근">
      <formula>NOT(ISERROR(SEARCH("결근",AI24)))</formula>
    </cfRule>
    <cfRule type="containsText" dxfId="206" priority="17" operator="containsText" text="퇴사">
      <formula>NOT(ISERROR(SEARCH("퇴사",AI24)))</formula>
    </cfRule>
    <cfRule type="containsText" dxfId="205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K31"/>
  <sheetViews>
    <sheetView showGridLines="0" showZeros="0" zoomScale="85" zoomScaleNormal="85" workbookViewId="0">
      <selection activeCell="N4" sqref="N4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63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134</v>
      </c>
      <c r="I4" s="113"/>
      <c r="J4" s="114"/>
      <c r="K4" s="95">
        <f>H4*10320</f>
        <v>1382880</v>
      </c>
      <c r="L4" s="96"/>
      <c r="M4" s="97"/>
      <c r="N4" s="94" t="s">
        <v>298</v>
      </c>
      <c r="O4" s="109"/>
      <c r="P4" s="109"/>
      <c r="Q4" s="109"/>
      <c r="R4" s="109"/>
      <c r="S4" s="110"/>
      <c r="T4" s="95">
        <f>ROUNDDOWN(((H17/7)-150000)*2.7%,-1)*7</f>
        <v>17430</v>
      </c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4</v>
      </c>
      <c r="I5" s="113"/>
      <c r="J5" s="114"/>
      <c r="K5" s="95">
        <f>H5*10320*1.5</f>
        <v>61920</v>
      </c>
      <c r="L5" s="96"/>
      <c r="M5" s="97"/>
      <c r="N5" s="94" t="s">
        <v>299</v>
      </c>
      <c r="O5" s="109"/>
      <c r="P5" s="109"/>
      <c r="Q5" s="109"/>
      <c r="R5" s="109"/>
      <c r="S5" s="110"/>
      <c r="T5" s="95">
        <f>ROUNDDOWN(T4*10%,-1)</f>
        <v>1740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15260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>
        <v>301000</v>
      </c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82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335430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1696480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1361050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이방미</v>
      </c>
      <c r="C26" s="35" t="s">
        <v>113</v>
      </c>
      <c r="D26" s="63"/>
      <c r="E26" s="149">
        <v>6</v>
      </c>
      <c r="F26" s="149">
        <v>8</v>
      </c>
      <c r="G26" s="149">
        <v>8</v>
      </c>
      <c r="H26" s="149"/>
      <c r="I26" s="149">
        <v>8</v>
      </c>
      <c r="J26" s="55"/>
      <c r="K26" s="66"/>
      <c r="L26" s="149"/>
      <c r="M26" s="149">
        <v>8</v>
      </c>
      <c r="N26" s="149">
        <v>8</v>
      </c>
      <c r="O26" s="149">
        <v>8</v>
      </c>
      <c r="P26" s="149">
        <v>8</v>
      </c>
      <c r="Q26" s="55"/>
      <c r="R26" s="66"/>
      <c r="S26" s="66">
        <v>8</v>
      </c>
      <c r="T26" s="66">
        <v>8</v>
      </c>
      <c r="U26" s="66">
        <v>8</v>
      </c>
      <c r="V26" s="149">
        <v>8</v>
      </c>
      <c r="W26" s="149"/>
      <c r="X26" s="55"/>
      <c r="Y26" s="66"/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134</v>
      </c>
    </row>
    <row r="27" spans="1:36" ht="16.5">
      <c r="A27" s="139"/>
      <c r="B27" s="82"/>
      <c r="C27" s="23" t="s">
        <v>114</v>
      </c>
      <c r="D27" s="64"/>
      <c r="E27" s="150"/>
      <c r="F27" s="150">
        <v>2</v>
      </c>
      <c r="G27" s="150"/>
      <c r="H27" s="150"/>
      <c r="I27" s="150"/>
      <c r="J27" s="56"/>
      <c r="K27" s="67"/>
      <c r="L27" s="150"/>
      <c r="M27" s="150">
        <v>2</v>
      </c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4</v>
      </c>
    </row>
    <row r="28" spans="1:36" ht="16.5">
      <c r="A28" s="139"/>
      <c r="B28" s="82"/>
      <c r="C28" s="23" t="s">
        <v>115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116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122</v>
      </c>
      <c r="D31" s="65"/>
      <c r="E31" s="151"/>
      <c r="F31" s="151"/>
      <c r="G31" s="151"/>
      <c r="H31" s="151" t="s">
        <v>238</v>
      </c>
      <c r="I31" s="151"/>
      <c r="J31" s="57"/>
      <c r="K31" s="68"/>
      <c r="L31" s="151" t="s">
        <v>238</v>
      </c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 t="s">
        <v>238</v>
      </c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B12:G12"/>
    <mergeCell ref="H12:M12"/>
    <mergeCell ref="N12:S12"/>
    <mergeCell ref="T12:Y12"/>
    <mergeCell ref="B13:G13"/>
    <mergeCell ref="H13:M13"/>
    <mergeCell ref="N13:S13"/>
    <mergeCell ref="T13:Y13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04" priority="4" operator="containsText" text="결근">
      <formula>NOT(ISERROR(SEARCH("결근",C24)))</formula>
    </cfRule>
    <cfRule type="containsText" dxfId="203" priority="5" operator="containsText" text="퇴사">
      <formula>NOT(ISERROR(SEARCH("퇴사",C24)))</formula>
    </cfRule>
    <cfRule type="containsText" dxfId="202" priority="6" operator="containsText" text="입사">
      <formula>NOT(ISERROR(SEARCH("입사",C24)))</formula>
    </cfRule>
  </conditionalFormatting>
  <conditionalFormatting sqref="C26:C31">
    <cfRule type="containsText" dxfId="201" priority="1" operator="containsText" text="반차">
      <formula>NOT(ISERROR(SEARCH("반차",C26)))</formula>
    </cfRule>
    <cfRule type="containsText" dxfId="200" priority="2" operator="containsText" text="휴무">
      <formula>NOT(ISERROR(SEARCH("휴무",C26)))</formula>
    </cfRule>
    <cfRule type="containsText" dxfId="199" priority="3" operator="containsText" text="연차">
      <formula>NOT(ISERROR(SEARCH("연차",C26)))</formula>
    </cfRule>
  </conditionalFormatting>
  <conditionalFormatting sqref="AI24:AJ31">
    <cfRule type="containsText" dxfId="198" priority="16" operator="containsText" text="결근">
      <formula>NOT(ISERROR(SEARCH("결근",AI24)))</formula>
    </cfRule>
    <cfRule type="containsText" dxfId="197" priority="17" operator="containsText" text="퇴사">
      <formula>NOT(ISERROR(SEARCH("퇴사",AI24)))</formula>
    </cfRule>
    <cfRule type="containsText" dxfId="196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K31"/>
  <sheetViews>
    <sheetView showGridLines="0" showZeros="0" zoomScale="85" zoomScaleNormal="85" workbookViewId="0">
      <selection activeCell="N5" sqref="N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166</v>
      </c>
      <c r="I4" s="113"/>
      <c r="J4" s="114"/>
      <c r="K4" s="95">
        <f>H4*10320</f>
        <v>1713120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2</v>
      </c>
      <c r="I5" s="113"/>
      <c r="J5" s="114"/>
      <c r="K5" s="95">
        <f>H5*10320*1.5</f>
        <v>30960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73967.520000000004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82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2000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73967.520000000004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2241440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2167472.48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268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47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이혜영</v>
      </c>
      <c r="C26" s="35" t="s">
        <v>118</v>
      </c>
      <c r="D26" s="63"/>
      <c r="E26" s="149">
        <v>6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/>
      <c r="Q26" s="55"/>
      <c r="R26" s="66"/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166</v>
      </c>
    </row>
    <row r="27" spans="1:36" ht="16.5">
      <c r="A27" s="139"/>
      <c r="B27" s="82"/>
      <c r="C27" s="23" t="s">
        <v>114</v>
      </c>
      <c r="D27" s="64"/>
      <c r="E27" s="150"/>
      <c r="F27" s="150">
        <v>2</v>
      </c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2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 t="s">
        <v>238</v>
      </c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95" priority="4" operator="containsText" text="결근">
      <formula>NOT(ISERROR(SEARCH("결근",C24)))</formula>
    </cfRule>
    <cfRule type="containsText" dxfId="194" priority="5" operator="containsText" text="퇴사">
      <formula>NOT(ISERROR(SEARCH("퇴사",C24)))</formula>
    </cfRule>
    <cfRule type="containsText" dxfId="193" priority="6" operator="containsText" text="입사">
      <formula>NOT(ISERROR(SEARCH("입사",C24)))</formula>
    </cfRule>
  </conditionalFormatting>
  <conditionalFormatting sqref="C26:C31">
    <cfRule type="containsText" dxfId="192" priority="1" operator="containsText" text="반차">
      <formula>NOT(ISERROR(SEARCH("반차",C26)))</formula>
    </cfRule>
    <cfRule type="containsText" dxfId="191" priority="2" operator="containsText" text="휴무">
      <formula>NOT(ISERROR(SEARCH("휴무",C26)))</formula>
    </cfRule>
    <cfRule type="containsText" dxfId="190" priority="3" operator="containsText" text="연차">
      <formula>NOT(ISERROR(SEARCH("연차",C26)))</formula>
    </cfRule>
  </conditionalFormatting>
  <conditionalFormatting sqref="AI24:AJ31">
    <cfRule type="containsText" dxfId="189" priority="16" operator="containsText" text="결근">
      <formula>NOT(ISERROR(SEARCH("결근",AI24)))</formula>
    </cfRule>
    <cfRule type="containsText" dxfId="188" priority="17" operator="containsText" text="퇴사">
      <formula>NOT(ISERROR(SEARCH("퇴사",AI24)))</formula>
    </cfRule>
    <cfRule type="containsText" dxfId="187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K31"/>
  <sheetViews>
    <sheetView showGridLines="0" showZeros="0" zoomScale="85" zoomScaleNormal="85" workbookViewId="0">
      <selection activeCell="H14" sqref="H14:M1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63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184</v>
      </c>
      <c r="I4" s="113"/>
      <c r="J4" s="114"/>
      <c r="K4" s="95">
        <f>H4*10320</f>
        <v>1898880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14</v>
      </c>
      <c r="I5" s="113"/>
      <c r="J5" s="114"/>
      <c r="K5" s="95">
        <f>H5*10320*1.5</f>
        <v>216720</v>
      </c>
      <c r="L5" s="96"/>
      <c r="M5" s="97"/>
      <c r="N5" s="94" t="s">
        <v>5</v>
      </c>
      <c r="O5" s="109"/>
      <c r="P5" s="109"/>
      <c r="Q5" s="109"/>
      <c r="R5" s="109"/>
      <c r="S5" s="110"/>
      <c r="T5" s="95">
        <f>H17*3.3%</f>
        <v>86623.680000000008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32</v>
      </c>
      <c r="I7" s="113"/>
      <c r="J7" s="114"/>
      <c r="K7" s="95">
        <f>H7*10320*1.5</f>
        <v>495360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/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247</v>
      </c>
      <c r="C13" s="109"/>
      <c r="D13" s="109"/>
      <c r="E13" s="109"/>
      <c r="F13" s="109"/>
      <c r="G13" s="110"/>
      <c r="H13" s="95">
        <v>14000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86623.680000000008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2624960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2538336.3199999998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269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김선미</v>
      </c>
      <c r="C26" s="35" t="s">
        <v>126</v>
      </c>
      <c r="D26" s="63"/>
      <c r="E26" s="149">
        <v>8</v>
      </c>
      <c r="F26" s="149">
        <v>8</v>
      </c>
      <c r="G26" s="149">
        <v>8</v>
      </c>
      <c r="H26" s="149">
        <v>8</v>
      </c>
      <c r="I26" s="149">
        <v>8</v>
      </c>
      <c r="J26" s="55"/>
      <c r="K26" s="66">
        <v>8</v>
      </c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184</v>
      </c>
    </row>
    <row r="27" spans="1:36" ht="16.5">
      <c r="A27" s="139"/>
      <c r="B27" s="82"/>
      <c r="C27" s="23" t="s">
        <v>114</v>
      </c>
      <c r="D27" s="64"/>
      <c r="E27" s="150">
        <v>2</v>
      </c>
      <c r="F27" s="150">
        <v>2</v>
      </c>
      <c r="G27" s="150">
        <v>2</v>
      </c>
      <c r="H27" s="150">
        <v>2</v>
      </c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14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>
        <v>8</v>
      </c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>
        <v>8</v>
      </c>
      <c r="AF28" s="150"/>
      <c r="AG28" s="150"/>
      <c r="AH28" s="156"/>
      <c r="AI28" s="47"/>
      <c r="AJ28" s="16">
        <f>SUM(D28:AI28)</f>
        <v>32</v>
      </c>
    </row>
    <row r="29" spans="1:36" ht="16.5">
      <c r="A29" s="139"/>
      <c r="B29" s="82"/>
      <c r="C29" s="23" t="s">
        <v>127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128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86" priority="4" operator="containsText" text="결근">
      <formula>NOT(ISERROR(SEARCH("결근",C24)))</formula>
    </cfRule>
    <cfRule type="containsText" dxfId="185" priority="5" operator="containsText" text="퇴사">
      <formula>NOT(ISERROR(SEARCH("퇴사",C24)))</formula>
    </cfRule>
    <cfRule type="containsText" dxfId="184" priority="6" operator="containsText" text="입사">
      <formula>NOT(ISERROR(SEARCH("입사",C24)))</formula>
    </cfRule>
  </conditionalFormatting>
  <conditionalFormatting sqref="C26:C31">
    <cfRule type="containsText" dxfId="183" priority="1" operator="containsText" text="반차">
      <formula>NOT(ISERROR(SEARCH("반차",C26)))</formula>
    </cfRule>
    <cfRule type="containsText" dxfId="182" priority="2" operator="containsText" text="휴무">
      <formula>NOT(ISERROR(SEARCH("휴무",C26)))</formula>
    </cfRule>
    <cfRule type="containsText" dxfId="181" priority="3" operator="containsText" text="연차">
      <formula>NOT(ISERROR(SEARCH("연차",C26)))</formula>
    </cfRule>
  </conditionalFormatting>
  <conditionalFormatting sqref="AI24:AJ31">
    <cfRule type="containsText" dxfId="180" priority="16" operator="containsText" text="결근">
      <formula>NOT(ISERROR(SEARCH("결근",AI24)))</formula>
    </cfRule>
    <cfRule type="containsText" dxfId="179" priority="17" operator="containsText" text="퇴사">
      <formula>NOT(ISERROR(SEARCH("퇴사",AI24)))</formula>
    </cfRule>
    <cfRule type="containsText" dxfId="178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14</v>
      </c>
      <c r="I4" s="113"/>
      <c r="J4" s="114"/>
      <c r="K4" s="95">
        <f>H4*10320</f>
        <v>144480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1300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81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246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1300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144480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143180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270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오수빈</v>
      </c>
      <c r="C26" s="35" t="s">
        <v>113</v>
      </c>
      <c r="D26" s="63"/>
      <c r="E26" s="149">
        <v>6</v>
      </c>
      <c r="F26" s="149">
        <v>8</v>
      </c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14</v>
      </c>
    </row>
    <row r="27" spans="1:36" ht="16.5">
      <c r="A27" s="139"/>
      <c r="B27" s="82"/>
      <c r="C27" s="23" t="s">
        <v>114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115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116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122</v>
      </c>
      <c r="D31" s="65"/>
      <c r="E31" s="151"/>
      <c r="F31" s="151" t="s">
        <v>239</v>
      </c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77" priority="4" operator="containsText" text="결근">
      <formula>NOT(ISERROR(SEARCH("결근",C24)))</formula>
    </cfRule>
    <cfRule type="containsText" dxfId="176" priority="5" operator="containsText" text="퇴사">
      <formula>NOT(ISERROR(SEARCH("퇴사",C24)))</formula>
    </cfRule>
    <cfRule type="containsText" dxfId="175" priority="6" operator="containsText" text="입사">
      <formula>NOT(ISERROR(SEARCH("입사",C24)))</formula>
    </cfRule>
  </conditionalFormatting>
  <conditionalFormatting sqref="C26:C31">
    <cfRule type="containsText" dxfId="174" priority="1" operator="containsText" text="반차">
      <formula>NOT(ISERROR(SEARCH("반차",C26)))</formula>
    </cfRule>
    <cfRule type="containsText" dxfId="173" priority="2" operator="containsText" text="휴무">
      <formula>NOT(ISERROR(SEARCH("휴무",C26)))</formula>
    </cfRule>
    <cfRule type="containsText" dxfId="172" priority="3" operator="containsText" text="연차">
      <formula>NOT(ISERROR(SEARCH("연차",C26)))</formula>
    </cfRule>
  </conditionalFormatting>
  <conditionalFormatting sqref="AI24:AJ31">
    <cfRule type="containsText" dxfId="171" priority="16" operator="containsText" text="결근">
      <formula>NOT(ISERROR(SEARCH("결근",AI24)))</formula>
    </cfRule>
    <cfRule type="containsText" dxfId="170" priority="17" operator="containsText" text="퇴사">
      <formula>NOT(ISERROR(SEARCH("퇴사",AI24)))</formula>
    </cfRule>
    <cfRule type="containsText" dxfId="169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AK31"/>
  <sheetViews>
    <sheetView showGridLines="0" showZeros="0" zoomScale="85" zoomScaleNormal="85" workbookViewId="0">
      <selection activeCell="T9" sqref="T9:Y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6</v>
      </c>
      <c r="I4" s="113"/>
      <c r="J4" s="114"/>
      <c r="K4" s="95">
        <f>H4*10320</f>
        <v>61920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550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550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61920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61370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271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46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위파위</v>
      </c>
      <c r="C26" s="35" t="s">
        <v>118</v>
      </c>
      <c r="D26" s="63"/>
      <c r="E26" s="149">
        <v>6</v>
      </c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6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 t="s">
        <v>239</v>
      </c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68" priority="4" operator="containsText" text="결근">
      <formula>NOT(ISERROR(SEARCH("결근",C24)))</formula>
    </cfRule>
    <cfRule type="containsText" dxfId="167" priority="5" operator="containsText" text="퇴사">
      <formula>NOT(ISERROR(SEARCH("퇴사",C24)))</formula>
    </cfRule>
    <cfRule type="containsText" dxfId="166" priority="6" operator="containsText" text="입사">
      <formula>NOT(ISERROR(SEARCH("입사",C24)))</formula>
    </cfRule>
  </conditionalFormatting>
  <conditionalFormatting sqref="C26:C31">
    <cfRule type="containsText" dxfId="165" priority="1" operator="containsText" text="반차">
      <formula>NOT(ISERROR(SEARCH("반차",C26)))</formula>
    </cfRule>
    <cfRule type="containsText" dxfId="164" priority="2" operator="containsText" text="휴무">
      <formula>NOT(ISERROR(SEARCH("휴무",C26)))</formula>
    </cfRule>
    <cfRule type="containsText" dxfId="163" priority="3" operator="containsText" text="연차">
      <formula>NOT(ISERROR(SEARCH("연차",C26)))</formula>
    </cfRule>
  </conditionalFormatting>
  <conditionalFormatting sqref="AI24:AJ31">
    <cfRule type="containsText" dxfId="162" priority="16" operator="containsText" text="결근">
      <formula>NOT(ISERROR(SEARCH("결근",AI24)))</formula>
    </cfRule>
    <cfRule type="containsText" dxfId="161" priority="17" operator="containsText" text="퇴사">
      <formula>NOT(ISERROR(SEARCH("퇴사",AI24)))</formula>
    </cfRule>
    <cfRule type="containsText" dxfId="160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64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45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서미란</v>
      </c>
      <c r="C26" s="35" t="s">
        <v>118</v>
      </c>
      <c r="D26" s="63"/>
      <c r="E26" s="149"/>
      <c r="F26" s="149"/>
      <c r="G26" s="149">
        <v>8</v>
      </c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 t="s">
        <v>239</v>
      </c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59" priority="4" operator="containsText" text="결근">
      <formula>NOT(ISERROR(SEARCH("결근",C24)))</formula>
    </cfRule>
    <cfRule type="containsText" dxfId="158" priority="5" operator="containsText" text="퇴사">
      <formula>NOT(ISERROR(SEARCH("퇴사",C24)))</formula>
    </cfRule>
    <cfRule type="containsText" dxfId="157" priority="6" operator="containsText" text="입사">
      <formula>NOT(ISERROR(SEARCH("입사",C24)))</formula>
    </cfRule>
  </conditionalFormatting>
  <conditionalFormatting sqref="C26:C31">
    <cfRule type="containsText" dxfId="156" priority="1" operator="containsText" text="반차">
      <formula>NOT(ISERROR(SEARCH("반차",C26)))</formula>
    </cfRule>
    <cfRule type="containsText" dxfId="155" priority="2" operator="containsText" text="휴무">
      <formula>NOT(ISERROR(SEARCH("휴무",C26)))</formula>
    </cfRule>
    <cfRule type="containsText" dxfId="154" priority="3" operator="containsText" text="연차">
      <formula>NOT(ISERROR(SEARCH("연차",C26)))</formula>
    </cfRule>
  </conditionalFormatting>
  <conditionalFormatting sqref="AI24:AJ31">
    <cfRule type="containsText" dxfId="153" priority="16" operator="containsText" text="결근">
      <formula>NOT(ISERROR(SEARCH("결근",AI24)))</formula>
    </cfRule>
    <cfRule type="containsText" dxfId="152" priority="17" operator="containsText" text="퇴사">
      <formula>NOT(ISERROR(SEARCH("퇴사",AI24)))</formula>
    </cfRule>
    <cfRule type="containsText" dxfId="151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63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295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박소연</v>
      </c>
      <c r="C26" s="35" t="s">
        <v>118</v>
      </c>
      <c r="D26" s="63"/>
      <c r="E26" s="149"/>
      <c r="F26" s="149"/>
      <c r="G26" s="149"/>
      <c r="H26" s="149">
        <v>8</v>
      </c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 t="s">
        <v>239</v>
      </c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50" priority="4" operator="containsText" text="결근">
      <formula>NOT(ISERROR(SEARCH("결근",C24)))</formula>
    </cfRule>
    <cfRule type="containsText" dxfId="149" priority="5" operator="containsText" text="퇴사">
      <formula>NOT(ISERROR(SEARCH("퇴사",C24)))</formula>
    </cfRule>
    <cfRule type="containsText" dxfId="148" priority="6" operator="containsText" text="입사">
      <formula>NOT(ISERROR(SEARCH("입사",C24)))</formula>
    </cfRule>
  </conditionalFormatting>
  <conditionalFormatting sqref="C26:C31">
    <cfRule type="containsText" dxfId="147" priority="1" operator="containsText" text="반차">
      <formula>NOT(ISERROR(SEARCH("반차",C26)))</formula>
    </cfRule>
    <cfRule type="containsText" dxfId="146" priority="2" operator="containsText" text="휴무">
      <formula>NOT(ISERROR(SEARCH("휴무",C26)))</formula>
    </cfRule>
    <cfRule type="containsText" dxfId="145" priority="3" operator="containsText" text="연차">
      <formula>NOT(ISERROR(SEARCH("연차",C26)))</formula>
    </cfRule>
  </conditionalFormatting>
  <conditionalFormatting sqref="AI24:AJ31">
    <cfRule type="containsText" dxfId="144" priority="16" operator="containsText" text="결근">
      <formula>NOT(ISERROR(SEARCH("결근",AI24)))</formula>
    </cfRule>
    <cfRule type="containsText" dxfId="143" priority="17" operator="containsText" text="퇴사">
      <formula>NOT(ISERROR(SEARCH("퇴사",AI24)))</formula>
    </cfRule>
    <cfRule type="containsText" dxfId="142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AK31"/>
  <sheetViews>
    <sheetView showGridLines="0" showZeros="0" zoomScale="85" zoomScaleNormal="85" workbookViewId="0">
      <selection activeCell="T6" sqref="T6:Y6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96</v>
      </c>
      <c r="I4" s="113"/>
      <c r="J4" s="114"/>
      <c r="K4" s="95">
        <f>H4*10320</f>
        <v>990720</v>
      </c>
      <c r="L4" s="96"/>
      <c r="M4" s="97"/>
      <c r="N4" s="94" t="s">
        <v>298</v>
      </c>
      <c r="O4" s="109"/>
      <c r="P4" s="109"/>
      <c r="Q4" s="109"/>
      <c r="R4" s="109"/>
      <c r="S4" s="110"/>
      <c r="T4" s="95">
        <f>ROUNDDOWN(((H17/7)-150000)*2.7%,-1)*7</f>
        <v>7700</v>
      </c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6</v>
      </c>
      <c r="I5" s="113"/>
      <c r="J5" s="114"/>
      <c r="K5" s="95">
        <f>H5*10320*1.5</f>
        <v>92880</v>
      </c>
      <c r="L5" s="96"/>
      <c r="M5" s="97"/>
      <c r="N5" s="94" t="s">
        <v>299</v>
      </c>
      <c r="O5" s="109"/>
      <c r="P5" s="109"/>
      <c r="Q5" s="109"/>
      <c r="R5" s="109"/>
      <c r="S5" s="110"/>
      <c r="T5" s="95">
        <f>ROUNDDOWN(T4*10%,-1)</f>
        <v>770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12030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 t="s">
        <v>69</v>
      </c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80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 customHeight="1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93"/>
      <c r="O14" s="93"/>
      <c r="P14" s="93"/>
      <c r="Q14" s="93"/>
      <c r="R14" s="93"/>
      <c r="S14" s="93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SUM(T4:Y11)</f>
        <v>20500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1337280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1316780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44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이학래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96</v>
      </c>
    </row>
    <row r="27" spans="1:36" ht="16.5">
      <c r="A27" s="139"/>
      <c r="B27" s="82"/>
      <c r="C27" s="23" t="s">
        <v>114</v>
      </c>
      <c r="D27" s="64"/>
      <c r="E27" s="150"/>
      <c r="F27" s="150"/>
      <c r="G27" s="150"/>
      <c r="H27" s="150"/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6</v>
      </c>
    </row>
    <row r="28" spans="1:36" ht="16.5">
      <c r="A28" s="139"/>
      <c r="B28" s="82"/>
      <c r="C28" s="23" t="s">
        <v>115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 t="s">
        <v>239</v>
      </c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41" priority="4" operator="containsText" text="결근">
      <formula>NOT(ISERROR(SEARCH("결근",C24)))</formula>
    </cfRule>
    <cfRule type="containsText" dxfId="140" priority="5" operator="containsText" text="퇴사">
      <formula>NOT(ISERROR(SEARCH("퇴사",C24)))</formula>
    </cfRule>
    <cfRule type="containsText" dxfId="139" priority="6" operator="containsText" text="입사">
      <formula>NOT(ISERROR(SEARCH("입사",C24)))</formula>
    </cfRule>
  </conditionalFormatting>
  <conditionalFormatting sqref="C26:C31">
    <cfRule type="containsText" dxfId="138" priority="1" operator="containsText" text="반차">
      <formula>NOT(ISERROR(SEARCH("반차",C26)))</formula>
    </cfRule>
    <cfRule type="containsText" dxfId="137" priority="2" operator="containsText" text="휴무">
      <formula>NOT(ISERROR(SEARCH("휴무",C26)))</formula>
    </cfRule>
    <cfRule type="containsText" dxfId="136" priority="3" operator="containsText" text="연차">
      <formula>NOT(ISERROR(SEARCH("연차",C26)))</formula>
    </cfRule>
  </conditionalFormatting>
  <conditionalFormatting sqref="AI24:AJ31">
    <cfRule type="containsText" dxfId="135" priority="16" operator="containsText" text="결근">
      <formula>NOT(ISERROR(SEARCH("결근",AI24)))</formula>
    </cfRule>
    <cfRule type="containsText" dxfId="134" priority="17" operator="containsText" text="퇴사">
      <formula>NOT(ISERROR(SEARCH("퇴사",AI24)))</formula>
    </cfRule>
    <cfRule type="containsText" dxfId="133" priority="18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AK31"/>
  <sheetViews>
    <sheetView showGridLines="0" showZeros="0" zoomScale="85" zoomScaleNormal="85" workbookViewId="0">
      <selection activeCell="T9" sqref="T9:Y9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104</v>
      </c>
      <c r="I4" s="113"/>
      <c r="J4" s="114"/>
      <c r="K4" s="95">
        <f>H4*10320</f>
        <v>1073280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4</v>
      </c>
      <c r="I5" s="113"/>
      <c r="J5" s="114"/>
      <c r="K5" s="95">
        <f>H5*10320*1.5</f>
        <v>61920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10250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>
        <v>301000</v>
      </c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79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>
        <v>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311250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1139200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827950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마리나</v>
      </c>
      <c r="C26" s="35" t="s">
        <v>113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104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4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 t="s">
        <v>239</v>
      </c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32" priority="4" operator="containsText" text="결근">
      <formula>NOT(ISERROR(SEARCH("결근",C24)))</formula>
    </cfRule>
    <cfRule type="containsText" dxfId="131" priority="5" operator="containsText" text="퇴사">
      <formula>NOT(ISERROR(SEARCH("퇴사",C24)))</formula>
    </cfRule>
    <cfRule type="containsText" dxfId="130" priority="6" operator="containsText" text="입사">
      <formula>NOT(ISERROR(SEARCH("입사",C24)))</formula>
    </cfRule>
  </conditionalFormatting>
  <conditionalFormatting sqref="C26:C31">
    <cfRule type="containsText" dxfId="129" priority="1" operator="containsText" text="반차">
      <formula>NOT(ISERROR(SEARCH("반차",C26)))</formula>
    </cfRule>
    <cfRule type="containsText" dxfId="128" priority="2" operator="containsText" text="휴무">
      <formula>NOT(ISERROR(SEARCH("휴무",C26)))</formula>
    </cfRule>
    <cfRule type="containsText" dxfId="127" priority="3" operator="containsText" text="연차">
      <formula>NOT(ISERROR(SEARCH("연차",C26)))</formula>
    </cfRule>
  </conditionalFormatting>
  <conditionalFormatting sqref="AI24:AJ31">
    <cfRule type="containsText" dxfId="126" priority="11" operator="containsText" text="결근">
      <formula>NOT(ISERROR(SEARCH("결근",AI24)))</formula>
    </cfRule>
    <cfRule type="containsText" dxfId="125" priority="12" operator="containsText" text="퇴사">
      <formula>NOT(ISERROR(SEARCH("퇴사",AI24)))</formula>
    </cfRule>
    <cfRule type="containsText" dxfId="124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AK31"/>
  <sheetViews>
    <sheetView showGridLines="0" showZeros="0" zoomScale="85" zoomScaleNormal="85" workbookViewId="0">
      <selection activeCell="N4" sqref="N4:Y6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136</v>
      </c>
      <c r="I4" s="113"/>
      <c r="J4" s="114"/>
      <c r="K4" s="95">
        <f>H4*10320</f>
        <v>1403520</v>
      </c>
      <c r="L4" s="96"/>
      <c r="M4" s="97"/>
      <c r="N4" s="94" t="s">
        <v>298</v>
      </c>
      <c r="O4" s="109"/>
      <c r="P4" s="109"/>
      <c r="Q4" s="109"/>
      <c r="R4" s="109"/>
      <c r="S4" s="110"/>
      <c r="T4" s="95">
        <f>ROUNDDOWN(((H17/7)-150000)*2.7%,-1)*7</f>
        <v>11270</v>
      </c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4</v>
      </c>
      <c r="I5" s="113"/>
      <c r="J5" s="114"/>
      <c r="K5" s="95">
        <f>H5*10320*1.5</f>
        <v>61920</v>
      </c>
      <c r="L5" s="96"/>
      <c r="M5" s="97"/>
      <c r="N5" s="94" t="s">
        <v>299</v>
      </c>
      <c r="O5" s="109"/>
      <c r="P5" s="109"/>
      <c r="Q5" s="109"/>
      <c r="R5" s="109"/>
      <c r="S5" s="110"/>
      <c r="T5" s="95">
        <f>ROUNDDOWN(T4*10%,-1)</f>
        <v>1120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13220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>
        <v>602000</v>
      </c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78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>
        <v>4000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627610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1469440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841830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김명희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>
        <v>8</v>
      </c>
      <c r="AA26" s="149">
        <v>8</v>
      </c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136</v>
      </c>
    </row>
    <row r="27" spans="1:36" ht="16.5">
      <c r="A27" s="139"/>
      <c r="B27" s="82"/>
      <c r="C27" s="23" t="s">
        <v>125</v>
      </c>
      <c r="D27" s="64"/>
      <c r="E27" s="150"/>
      <c r="F27" s="150"/>
      <c r="G27" s="150"/>
      <c r="H27" s="150"/>
      <c r="I27" s="150"/>
      <c r="J27" s="56"/>
      <c r="K27" s="67"/>
      <c r="L27" s="150">
        <v>2</v>
      </c>
      <c r="M27" s="150"/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4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23" priority="4" operator="containsText" text="결근">
      <formula>NOT(ISERROR(SEARCH("결근",C24)))</formula>
    </cfRule>
    <cfRule type="containsText" dxfId="122" priority="5" operator="containsText" text="퇴사">
      <formula>NOT(ISERROR(SEARCH("퇴사",C24)))</formula>
    </cfRule>
    <cfRule type="containsText" dxfId="121" priority="6" operator="containsText" text="입사">
      <formula>NOT(ISERROR(SEARCH("입사",C24)))</formula>
    </cfRule>
  </conditionalFormatting>
  <conditionalFormatting sqref="C26:C31">
    <cfRule type="containsText" dxfId="120" priority="1" operator="containsText" text="반차">
      <formula>NOT(ISERROR(SEARCH("반차",C26)))</formula>
    </cfRule>
    <cfRule type="containsText" dxfId="119" priority="2" operator="containsText" text="휴무">
      <formula>NOT(ISERROR(SEARCH("휴무",C26)))</formula>
    </cfRule>
    <cfRule type="containsText" dxfId="118" priority="3" operator="containsText" text="연차">
      <formula>NOT(ISERROR(SEARCH("연차",C26)))</formula>
    </cfRule>
  </conditionalFormatting>
  <conditionalFormatting sqref="AI24:AJ31">
    <cfRule type="containsText" dxfId="117" priority="11" operator="containsText" text="결근">
      <formula>NOT(ISERROR(SEARCH("결근",AI24)))</formula>
    </cfRule>
    <cfRule type="containsText" dxfId="116" priority="12" operator="containsText" text="퇴사">
      <formula>NOT(ISERROR(SEARCH("퇴사",AI24)))</formula>
    </cfRule>
    <cfRule type="containsText" dxfId="115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AK31"/>
  <sheetViews>
    <sheetView showGridLines="0" showZeros="0" zoomScale="85" zoomScaleNormal="85" workbookViewId="0">
      <selection activeCell="N4" sqref="N4:Y6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96</v>
      </c>
      <c r="I4" s="113"/>
      <c r="J4" s="114"/>
      <c r="K4" s="95">
        <f>H4*10320</f>
        <v>990720</v>
      </c>
      <c r="L4" s="96"/>
      <c r="M4" s="97"/>
      <c r="N4" s="94" t="s">
        <v>298</v>
      </c>
      <c r="O4" s="109"/>
      <c r="P4" s="109"/>
      <c r="Q4" s="109"/>
      <c r="R4" s="109"/>
      <c r="S4" s="110"/>
      <c r="T4" s="95">
        <f>ROUNDDOWN(((H17/7)-150000)*2.7%,-1)*7</f>
        <v>7700</v>
      </c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6</v>
      </c>
      <c r="I5" s="113"/>
      <c r="J5" s="114"/>
      <c r="K5" s="95">
        <f>H5*10320*1.5</f>
        <v>92880</v>
      </c>
      <c r="L5" s="96"/>
      <c r="M5" s="97"/>
      <c r="N5" s="94" t="s">
        <v>299</v>
      </c>
      <c r="O5" s="109"/>
      <c r="P5" s="109"/>
      <c r="Q5" s="109"/>
      <c r="R5" s="109"/>
      <c r="S5" s="110"/>
      <c r="T5" s="95">
        <f>ROUNDDOWN(T4*10%,-1)</f>
        <v>770</v>
      </c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16</v>
      </c>
      <c r="I7" s="113"/>
      <c r="J7" s="114"/>
      <c r="K7" s="95">
        <f>H7*10320*1.5</f>
        <v>247680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12030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77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245</v>
      </c>
      <c r="C13" s="109"/>
      <c r="D13" s="109"/>
      <c r="E13" s="109"/>
      <c r="F13" s="109"/>
      <c r="G13" s="110"/>
      <c r="H13" s="95">
        <v>6000</v>
      </c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20500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1337280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1316780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276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이현정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>
        <v>8</v>
      </c>
      <c r="N26" s="149">
        <v>8</v>
      </c>
      <c r="O26" s="149">
        <v>8</v>
      </c>
      <c r="P26" s="149">
        <v>8</v>
      </c>
      <c r="Q26" s="55"/>
      <c r="R26" s="66">
        <v>8</v>
      </c>
      <c r="S26" s="66">
        <v>8</v>
      </c>
      <c r="T26" s="66">
        <v>8</v>
      </c>
      <c r="U26" s="66">
        <v>8</v>
      </c>
      <c r="V26" s="149">
        <v>8</v>
      </c>
      <c r="W26" s="149">
        <v>8</v>
      </c>
      <c r="X26" s="55"/>
      <c r="Y26" s="66">
        <v>8</v>
      </c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96</v>
      </c>
    </row>
    <row r="27" spans="1:36" ht="16.5">
      <c r="A27" s="139"/>
      <c r="B27" s="82"/>
      <c r="C27" s="23" t="s">
        <v>123</v>
      </c>
      <c r="D27" s="64"/>
      <c r="E27" s="150"/>
      <c r="F27" s="150"/>
      <c r="G27" s="150"/>
      <c r="H27" s="150"/>
      <c r="I27" s="150"/>
      <c r="J27" s="56"/>
      <c r="K27" s="67"/>
      <c r="L27" s="150">
        <v>2</v>
      </c>
      <c r="M27" s="150">
        <v>2</v>
      </c>
      <c r="N27" s="150"/>
      <c r="O27" s="150">
        <v>2</v>
      </c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6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>
        <v>8</v>
      </c>
      <c r="R28" s="67"/>
      <c r="S28" s="67"/>
      <c r="T28" s="67"/>
      <c r="U28" s="67"/>
      <c r="V28" s="150"/>
      <c r="W28" s="150"/>
      <c r="X28" s="56">
        <v>8</v>
      </c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16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124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 t="s">
        <v>239</v>
      </c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14" priority="4" operator="containsText" text="결근">
      <formula>NOT(ISERROR(SEARCH("결근",C24)))</formula>
    </cfRule>
    <cfRule type="containsText" dxfId="113" priority="5" operator="containsText" text="퇴사">
      <formula>NOT(ISERROR(SEARCH("퇴사",C24)))</formula>
    </cfRule>
    <cfRule type="containsText" dxfId="112" priority="6" operator="containsText" text="입사">
      <formula>NOT(ISERROR(SEARCH("입사",C24)))</formula>
    </cfRule>
  </conditionalFormatting>
  <conditionalFormatting sqref="C26:C31">
    <cfRule type="containsText" dxfId="111" priority="1" operator="containsText" text="반차">
      <formula>NOT(ISERROR(SEARCH("반차",C26)))</formula>
    </cfRule>
    <cfRule type="containsText" dxfId="110" priority="2" operator="containsText" text="휴무">
      <formula>NOT(ISERROR(SEARCH("휴무",C26)))</formula>
    </cfRule>
    <cfRule type="containsText" dxfId="109" priority="3" operator="containsText" text="연차">
      <formula>NOT(ISERROR(SEARCH("연차",C26)))</formula>
    </cfRule>
  </conditionalFormatting>
  <conditionalFormatting sqref="AI24:AJ31">
    <cfRule type="containsText" dxfId="108" priority="11" operator="containsText" text="결근">
      <formula>NOT(ISERROR(SEARCH("결근",AI24)))</formula>
    </cfRule>
    <cfRule type="containsText" dxfId="107" priority="12" operator="containsText" text="퇴사">
      <formula>NOT(ISERROR(SEARCH("퇴사",AI24)))</formula>
    </cfRule>
    <cfRule type="containsText" dxfId="106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62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77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244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277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이효진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 t="s">
        <v>239</v>
      </c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105" priority="4" operator="containsText" text="결근">
      <formula>NOT(ISERROR(SEARCH("결근",C24)))</formula>
    </cfRule>
    <cfRule type="containsText" dxfId="104" priority="5" operator="containsText" text="퇴사">
      <formula>NOT(ISERROR(SEARCH("퇴사",C24)))</formula>
    </cfRule>
    <cfRule type="containsText" dxfId="103" priority="6" operator="containsText" text="입사">
      <formula>NOT(ISERROR(SEARCH("입사",C24)))</formula>
    </cfRule>
  </conditionalFormatting>
  <conditionalFormatting sqref="C26:C31">
    <cfRule type="containsText" dxfId="102" priority="1" operator="containsText" text="반차">
      <formula>NOT(ISERROR(SEARCH("반차",C26)))</formula>
    </cfRule>
    <cfRule type="containsText" dxfId="101" priority="2" operator="containsText" text="휴무">
      <formula>NOT(ISERROR(SEARCH("휴무",C26)))</formula>
    </cfRule>
    <cfRule type="containsText" dxfId="100" priority="3" operator="containsText" text="연차">
      <formula>NOT(ISERROR(SEARCH("연차",C26)))</formula>
    </cfRule>
  </conditionalFormatting>
  <conditionalFormatting sqref="AI24:AJ31">
    <cfRule type="containsText" dxfId="99" priority="11" operator="containsText" text="결근">
      <formula>NOT(ISERROR(SEARCH("결근",AI24)))</formula>
    </cfRule>
    <cfRule type="containsText" dxfId="98" priority="12" operator="containsText" text="퇴사">
      <formula>NOT(ISERROR(SEARCH("퇴사",AI24)))</formula>
    </cfRule>
    <cfRule type="containsText" dxfId="97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10</v>
      </c>
      <c r="I4" s="113"/>
      <c r="J4" s="114"/>
      <c r="K4" s="95">
        <f>H4*10320</f>
        <v>103200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920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920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103200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102280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278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문지현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>
        <v>2</v>
      </c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10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 t="s">
        <v>239</v>
      </c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96" priority="4" operator="containsText" text="결근">
      <formula>NOT(ISERROR(SEARCH("결근",C24)))</formula>
    </cfRule>
    <cfRule type="containsText" dxfId="95" priority="5" operator="containsText" text="퇴사">
      <formula>NOT(ISERROR(SEARCH("퇴사",C24)))</formula>
    </cfRule>
    <cfRule type="containsText" dxfId="94" priority="6" operator="containsText" text="입사">
      <formula>NOT(ISERROR(SEARCH("입사",C24)))</formula>
    </cfRule>
  </conditionalFormatting>
  <conditionalFormatting sqref="C26:C31">
    <cfRule type="containsText" dxfId="93" priority="1" operator="containsText" text="반차">
      <formula>NOT(ISERROR(SEARCH("반차",C26)))</formula>
    </cfRule>
    <cfRule type="containsText" dxfId="92" priority="2" operator="containsText" text="휴무">
      <formula>NOT(ISERROR(SEARCH("휴무",C26)))</formula>
    </cfRule>
    <cfRule type="containsText" dxfId="91" priority="3" operator="containsText" text="연차">
      <formula>NOT(ISERROR(SEARCH("연차",C26)))</formula>
    </cfRule>
  </conditionalFormatting>
  <conditionalFormatting sqref="AI24:AJ31">
    <cfRule type="containsText" dxfId="90" priority="11" operator="containsText" text="결근">
      <formula>NOT(ISERROR(SEARCH("결근",AI24)))</formula>
    </cfRule>
    <cfRule type="containsText" dxfId="89" priority="12" operator="containsText" text="퇴사">
      <formula>NOT(ISERROR(SEARCH("퇴사",AI24)))</formula>
    </cfRule>
    <cfRule type="containsText" dxfId="88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61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10</v>
      </c>
      <c r="I4" s="113"/>
      <c r="J4" s="114"/>
      <c r="K4" s="95">
        <f>H4*10320</f>
        <v>103200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920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76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242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920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103200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102280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279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문지수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>
        <v>8</v>
      </c>
      <c r="M26" s="149">
        <v>2</v>
      </c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10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 t="s">
        <v>239</v>
      </c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87" priority="4" operator="containsText" text="결근">
      <formula>NOT(ISERROR(SEARCH("결근",C24)))</formula>
    </cfRule>
    <cfRule type="containsText" dxfId="86" priority="5" operator="containsText" text="퇴사">
      <formula>NOT(ISERROR(SEARCH("퇴사",C24)))</formula>
    </cfRule>
    <cfRule type="containsText" dxfId="85" priority="6" operator="containsText" text="입사">
      <formula>NOT(ISERROR(SEARCH("입사",C24)))</formula>
    </cfRule>
  </conditionalFormatting>
  <conditionalFormatting sqref="C26:C31">
    <cfRule type="containsText" dxfId="84" priority="1" operator="containsText" text="반차">
      <formula>NOT(ISERROR(SEARCH("반차",C26)))</formula>
    </cfRule>
    <cfRule type="containsText" dxfId="83" priority="2" operator="containsText" text="휴무">
      <formula>NOT(ISERROR(SEARCH("휴무",C26)))</formula>
    </cfRule>
    <cfRule type="containsText" dxfId="82" priority="3" operator="containsText" text="연차">
      <formula>NOT(ISERROR(SEARCH("연차",C26)))</formula>
    </cfRule>
  </conditionalFormatting>
  <conditionalFormatting sqref="AI24:AJ31">
    <cfRule type="containsText" dxfId="81" priority="11" operator="containsText" text="결근">
      <formula>NOT(ISERROR(SEARCH("결근",AI24)))</formula>
    </cfRule>
    <cfRule type="containsText" dxfId="80" priority="12" operator="containsText" text="퇴사">
      <formula>NOT(ISERROR(SEARCH("퇴사",AI24)))</formula>
    </cfRule>
    <cfRule type="containsText" dxfId="79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16</v>
      </c>
      <c r="I4" s="113"/>
      <c r="J4" s="114"/>
      <c r="K4" s="95">
        <f>H4*10320</f>
        <v>165120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1480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75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1480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165120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163640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280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원차연</v>
      </c>
      <c r="C26" s="35" t="s">
        <v>113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>
        <v>8</v>
      </c>
      <c r="AA26" s="149">
        <v>8</v>
      </c>
      <c r="AB26" s="149"/>
      <c r="AC26" s="149"/>
      <c r="AD26" s="149"/>
      <c r="AE26" s="58"/>
      <c r="AF26" s="149"/>
      <c r="AG26" s="149"/>
      <c r="AH26" s="155"/>
      <c r="AI26" s="46"/>
      <c r="AJ26" s="18">
        <f>SUM(D26:AI26)</f>
        <v>16</v>
      </c>
    </row>
    <row r="27" spans="1:36" ht="16.5">
      <c r="A27" s="139"/>
      <c r="B27" s="82"/>
      <c r="C27" s="23" t="s">
        <v>114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115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116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 t="s">
        <v>239</v>
      </c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8:G8"/>
    <mergeCell ref="H8:J8"/>
    <mergeCell ref="K8:M8"/>
    <mergeCell ref="N8:S8"/>
    <mergeCell ref="T8:Y8"/>
    <mergeCell ref="B7:G7"/>
    <mergeCell ref="H7:J7"/>
    <mergeCell ref="K7:M7"/>
    <mergeCell ref="N7:S7"/>
    <mergeCell ref="T7:Y7"/>
    <mergeCell ref="K9:M9"/>
    <mergeCell ref="N9:S9"/>
    <mergeCell ref="T9:Y9"/>
    <mergeCell ref="B11:G11"/>
    <mergeCell ref="H11:M11"/>
    <mergeCell ref="N11:S11"/>
    <mergeCell ref="T11:Y11"/>
    <mergeCell ref="B10:G10"/>
    <mergeCell ref="H10:M10"/>
    <mergeCell ref="N10:S10"/>
    <mergeCell ref="T10:Y10"/>
    <mergeCell ref="B9:G9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</mergeCells>
  <phoneticPr fontId="2" type="noConversion"/>
  <conditionalFormatting sqref="C24:C31">
    <cfRule type="containsText" dxfId="78" priority="4" operator="containsText" text="결근">
      <formula>NOT(ISERROR(SEARCH("결근",C24)))</formula>
    </cfRule>
    <cfRule type="containsText" dxfId="77" priority="5" operator="containsText" text="퇴사">
      <formula>NOT(ISERROR(SEARCH("퇴사",C24)))</formula>
    </cfRule>
    <cfRule type="containsText" dxfId="76" priority="6" operator="containsText" text="입사">
      <formula>NOT(ISERROR(SEARCH("입사",C24)))</formula>
    </cfRule>
  </conditionalFormatting>
  <conditionalFormatting sqref="C26:C31">
    <cfRule type="containsText" dxfId="75" priority="1" operator="containsText" text="반차">
      <formula>NOT(ISERROR(SEARCH("반차",C26)))</formula>
    </cfRule>
    <cfRule type="containsText" dxfId="74" priority="2" operator="containsText" text="휴무">
      <formula>NOT(ISERROR(SEARCH("휴무",C26)))</formula>
    </cfRule>
    <cfRule type="containsText" dxfId="73" priority="3" operator="containsText" text="연차">
      <formula>NOT(ISERROR(SEARCH("연차",C26)))</formula>
    </cfRule>
  </conditionalFormatting>
  <conditionalFormatting sqref="AI24:AJ31">
    <cfRule type="containsText" dxfId="72" priority="11" operator="containsText" text="결근">
      <formula>NOT(ISERROR(SEARCH("결근",AI24)))</formula>
    </cfRule>
    <cfRule type="containsText" dxfId="71" priority="12" operator="containsText" text="퇴사">
      <formula>NOT(ISERROR(SEARCH("퇴사",AI24)))</formula>
    </cfRule>
    <cfRule type="containsText" dxfId="70" priority="13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24</v>
      </c>
      <c r="I4" s="113"/>
      <c r="J4" s="114"/>
      <c r="K4" s="95">
        <f>H4*10320</f>
        <v>247680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2220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2220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247680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245460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281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리티민홍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>
        <v>8</v>
      </c>
      <c r="AC26" s="149">
        <v>8</v>
      </c>
      <c r="AD26" s="149">
        <v>8</v>
      </c>
      <c r="AE26" s="58"/>
      <c r="AF26" s="149"/>
      <c r="AG26" s="149"/>
      <c r="AH26" s="155"/>
      <c r="AI26" s="46"/>
      <c r="AJ26" s="18">
        <f>SUM(D26:AI26)</f>
        <v>24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122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N18:Y18"/>
    <mergeCell ref="B17:G17"/>
    <mergeCell ref="H17:M17"/>
    <mergeCell ref="N17:S17"/>
    <mergeCell ref="T17:Y17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69" priority="4" operator="containsText" text="결근">
      <formula>NOT(ISERROR(SEARCH("결근",C24)))</formula>
    </cfRule>
    <cfRule type="containsText" dxfId="68" priority="5" operator="containsText" text="퇴사">
      <formula>NOT(ISERROR(SEARCH("퇴사",C24)))</formula>
    </cfRule>
    <cfRule type="containsText" dxfId="67" priority="6" operator="containsText" text="입사">
      <formula>NOT(ISERROR(SEARCH("입사",C24)))</formula>
    </cfRule>
  </conditionalFormatting>
  <conditionalFormatting sqref="C26:C31">
    <cfRule type="containsText" dxfId="66" priority="1" operator="containsText" text="반차">
      <formula>NOT(ISERROR(SEARCH("반차",C26)))</formula>
    </cfRule>
    <cfRule type="containsText" dxfId="65" priority="2" operator="containsText" text="휴무">
      <formula>NOT(ISERROR(SEARCH("휴무",C26)))</formula>
    </cfRule>
    <cfRule type="containsText" dxfId="64" priority="3" operator="containsText" text="연차">
      <formula>NOT(ISERROR(SEARCH("연차",C26)))</formula>
    </cfRule>
  </conditionalFormatting>
  <conditionalFormatting sqref="AI24:AJ31">
    <cfRule type="containsText" dxfId="63" priority="7" operator="containsText" text="결근">
      <formula>NOT(ISERROR(SEARCH("결근",AI24)))</formula>
    </cfRule>
    <cfRule type="containsText" dxfId="62" priority="8" operator="containsText" text="퇴사">
      <formula>NOT(ISERROR(SEARCH("퇴사",AI24)))</formula>
    </cfRule>
    <cfRule type="containsText" dxfId="61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282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이주성</v>
      </c>
      <c r="C26" s="35" t="s">
        <v>118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>
        <v>8</v>
      </c>
      <c r="AD26" s="149"/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120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121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 t="s">
        <v>239</v>
      </c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N18:Y18"/>
    <mergeCell ref="B17:G17"/>
    <mergeCell ref="H17:M17"/>
    <mergeCell ref="N17:S17"/>
    <mergeCell ref="T17:Y17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60" priority="4" operator="containsText" text="결근">
      <formula>NOT(ISERROR(SEARCH("결근",C24)))</formula>
    </cfRule>
    <cfRule type="containsText" dxfId="59" priority="5" operator="containsText" text="퇴사">
      <formula>NOT(ISERROR(SEARCH("퇴사",C24)))</formula>
    </cfRule>
    <cfRule type="containsText" dxfId="58" priority="6" operator="containsText" text="입사">
      <formula>NOT(ISERROR(SEARCH("입사",C24)))</formula>
    </cfRule>
  </conditionalFormatting>
  <conditionalFormatting sqref="C26:C31">
    <cfRule type="containsText" dxfId="57" priority="1" operator="containsText" text="반차">
      <formula>NOT(ISERROR(SEARCH("반차",C26)))</formula>
    </cfRule>
    <cfRule type="containsText" dxfId="56" priority="2" operator="containsText" text="휴무">
      <formula>NOT(ISERROR(SEARCH("휴무",C26)))</formula>
    </cfRule>
    <cfRule type="containsText" dxfId="55" priority="3" operator="containsText" text="연차">
      <formula>NOT(ISERROR(SEARCH("연차",C26)))</formula>
    </cfRule>
  </conditionalFormatting>
  <conditionalFormatting sqref="AI24:AJ31">
    <cfRule type="containsText" dxfId="54" priority="7" operator="containsText" text="결근">
      <formula>NOT(ISERROR(SEARCH("결근",AI24)))</formula>
    </cfRule>
    <cfRule type="containsText" dxfId="53" priority="8" operator="containsText" text="퇴사">
      <formula>NOT(ISERROR(SEARCH("퇴사",AI24)))</formula>
    </cfRule>
    <cfRule type="containsText" dxfId="52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AK31"/>
  <sheetViews>
    <sheetView showGridLines="0" showZeros="0" zoomScale="85" zoomScaleNormal="85" workbookViewId="0">
      <selection activeCell="D26" sqref="D26:AE31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243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283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최보경</v>
      </c>
      <c r="C26" s="35" t="s">
        <v>113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>
        <v>8</v>
      </c>
      <c r="AD26" s="149"/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114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115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116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 t="s">
        <v>239</v>
      </c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N18:Y18"/>
    <mergeCell ref="B17:G17"/>
    <mergeCell ref="H17:M17"/>
    <mergeCell ref="N17:S17"/>
    <mergeCell ref="T17:Y17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51" priority="4" operator="containsText" text="결근">
      <formula>NOT(ISERROR(SEARCH("결근",C24)))</formula>
    </cfRule>
    <cfRule type="containsText" dxfId="50" priority="5" operator="containsText" text="퇴사">
      <formula>NOT(ISERROR(SEARCH("퇴사",C24)))</formula>
    </cfRule>
    <cfRule type="containsText" dxfId="49" priority="6" operator="containsText" text="입사">
      <formula>NOT(ISERROR(SEARCH("입사",C24)))</formula>
    </cfRule>
  </conditionalFormatting>
  <conditionalFormatting sqref="C26:C31">
    <cfRule type="containsText" dxfId="48" priority="1" operator="containsText" text="반차">
      <formula>NOT(ISERROR(SEARCH("반차",C26)))</formula>
    </cfRule>
    <cfRule type="containsText" dxfId="47" priority="2" operator="containsText" text="휴무">
      <formula>NOT(ISERROR(SEARCH("휴무",C26)))</formula>
    </cfRule>
    <cfRule type="containsText" dxfId="46" priority="3" operator="containsText" text="연차">
      <formula>NOT(ISERROR(SEARCH("연차",C26)))</formula>
    </cfRule>
  </conditionalFormatting>
  <conditionalFormatting sqref="AI24:AJ31">
    <cfRule type="containsText" dxfId="45" priority="7" operator="containsText" text="결근">
      <formula>NOT(ISERROR(SEARCH("결근",AI24)))</formula>
    </cfRule>
    <cfRule type="containsText" dxfId="44" priority="8" operator="containsText" text="퇴사">
      <formula>NOT(ISERROR(SEARCH("퇴사",AI24)))</formula>
    </cfRule>
    <cfRule type="containsText" dxfId="43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AK31"/>
  <sheetViews>
    <sheetView showGridLines="0" showZeros="0" zoomScale="85" zoomScaleNormal="85" workbookViewId="0">
      <selection activeCell="T5" sqref="T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256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242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284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김유진</v>
      </c>
      <c r="C26" s="35" t="s">
        <v>113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>
        <v>8</v>
      </c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114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115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116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117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D17:AE17"/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N18:Y18"/>
    <mergeCell ref="B17:G17"/>
    <mergeCell ref="H17:M17"/>
    <mergeCell ref="N17:S17"/>
    <mergeCell ref="T17:Y17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42" priority="4" operator="containsText" text="결근">
      <formula>NOT(ISERROR(SEARCH("결근",C24)))</formula>
    </cfRule>
    <cfRule type="containsText" dxfId="41" priority="5" operator="containsText" text="퇴사">
      <formula>NOT(ISERROR(SEARCH("퇴사",C24)))</formula>
    </cfRule>
    <cfRule type="containsText" dxfId="40" priority="6" operator="containsText" text="입사">
      <formula>NOT(ISERROR(SEARCH("입사",C24)))</formula>
    </cfRule>
  </conditionalFormatting>
  <conditionalFormatting sqref="C26:C31">
    <cfRule type="containsText" dxfId="39" priority="1" operator="containsText" text="반차">
      <formula>NOT(ISERROR(SEARCH("반차",C26)))</formula>
    </cfRule>
    <cfRule type="containsText" dxfId="38" priority="2" operator="containsText" text="휴무">
      <formula>NOT(ISERROR(SEARCH("휴무",C26)))</formula>
    </cfRule>
    <cfRule type="containsText" dxfId="37" priority="3" operator="containsText" text="연차">
      <formula>NOT(ISERROR(SEARCH("연차",C26)))</formula>
    </cfRule>
  </conditionalFormatting>
  <conditionalFormatting sqref="AI24:AJ31">
    <cfRule type="containsText" dxfId="36" priority="7" operator="containsText" text="결근">
      <formula>NOT(ISERROR(SEARCH("결근",AI24)))</formula>
    </cfRule>
    <cfRule type="containsText" dxfId="35" priority="8" operator="containsText" text="퇴사">
      <formula>NOT(ISERROR(SEARCH("퇴사",AI24)))</formula>
    </cfRule>
    <cfRule type="containsText" dxfId="34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7942-F768-40C6-AFC1-402F0F5CF392}">
  <sheetPr>
    <pageSetUpPr fitToPage="1"/>
  </sheetPr>
  <dimension ref="A1:AK31"/>
  <sheetViews>
    <sheetView showGridLines="0" showZeros="0" zoomScale="85" zoomScaleNormal="85" workbookViewId="0">
      <selection activeCell="T5" sqref="T5:Y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285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이정화</v>
      </c>
      <c r="C26" s="35" t="s">
        <v>107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>
        <v>8</v>
      </c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33" priority="4" operator="containsText" text="결근">
      <formula>NOT(ISERROR(SEARCH("결근",C24)))</formula>
    </cfRule>
    <cfRule type="containsText" dxfId="32" priority="5" operator="containsText" text="퇴사">
      <formula>NOT(ISERROR(SEARCH("퇴사",C24)))</formula>
    </cfRule>
    <cfRule type="containsText" dxfId="31" priority="6" operator="containsText" text="입사">
      <formula>NOT(ISERROR(SEARCH("입사",C24)))</formula>
    </cfRule>
  </conditionalFormatting>
  <conditionalFormatting sqref="C26:C31">
    <cfRule type="containsText" dxfId="30" priority="1" operator="containsText" text="반차">
      <formula>NOT(ISERROR(SEARCH("반차",C26)))</formula>
    </cfRule>
    <cfRule type="containsText" dxfId="29" priority="2" operator="containsText" text="휴무">
      <formula>NOT(ISERROR(SEARCH("휴무",C26)))</formula>
    </cfRule>
    <cfRule type="containsText" dxfId="28" priority="3" operator="containsText" text="연차">
      <formula>NOT(ISERROR(SEARCH("연차",C26)))</formula>
    </cfRule>
  </conditionalFormatting>
  <conditionalFormatting sqref="AI24:AJ31">
    <cfRule type="containsText" dxfId="27" priority="7" operator="containsText" text="결근">
      <formula>NOT(ISERROR(SEARCH("결근",AI24)))</formula>
    </cfRule>
    <cfRule type="containsText" dxfId="26" priority="8" operator="containsText" text="퇴사">
      <formula>NOT(ISERROR(SEARCH("퇴사",AI24)))</formula>
    </cfRule>
    <cfRule type="containsText" dxfId="25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4C2B-DBF2-4301-A0DB-D94E58F4EA18}">
  <sheetPr>
    <pageSetUpPr fitToPage="1"/>
  </sheetPr>
  <dimension ref="A1:AK31"/>
  <sheetViews>
    <sheetView showGridLines="0" showZeros="0" zoomScale="85" zoomScaleNormal="85" workbookViewId="0">
      <selection activeCell="W28" sqref="W28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5" customWidth="1"/>
    <col min="32" max="34" width="4.625" style="5" hidden="1" customWidth="1"/>
    <col min="35" max="35" width="4.625" style="1" customWidth="1"/>
    <col min="36" max="36" width="7.875" style="1" customWidth="1"/>
    <col min="37" max="37" width="4.25" style="1" customWidth="1"/>
    <col min="38" max="39" width="3.75" style="1" customWidth="1"/>
    <col min="40" max="63" width="3.25" style="1" customWidth="1"/>
    <col min="64" max="66" width="2.125" style="1" customWidth="1"/>
    <col min="67" max="16384" width="3.625" style="1"/>
  </cols>
  <sheetData>
    <row r="1" spans="2:37" ht="16.5" customHeight="1">
      <c r="B1" s="115" t="s">
        <v>60</v>
      </c>
      <c r="C1" s="115"/>
      <c r="D1" s="115"/>
      <c r="E1" s="115"/>
      <c r="F1" s="115"/>
      <c r="G1" s="115"/>
    </row>
    <row r="2" spans="2:37" ht="17.25" customHeight="1" thickBot="1">
      <c r="B2" s="116"/>
      <c r="C2" s="116"/>
      <c r="D2" s="116"/>
      <c r="E2" s="116"/>
      <c r="F2" s="116"/>
      <c r="G2" s="116"/>
    </row>
    <row r="3" spans="2:37" ht="16.5">
      <c r="B3" s="122" t="s">
        <v>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  <c r="N3" s="125" t="s">
        <v>1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6"/>
    </row>
    <row r="4" spans="2:37" ht="16.5" customHeight="1">
      <c r="B4" s="108" t="s">
        <v>2</v>
      </c>
      <c r="C4" s="109"/>
      <c r="D4" s="109"/>
      <c r="E4" s="109"/>
      <c r="F4" s="109"/>
      <c r="G4" s="110"/>
      <c r="H4" s="112">
        <f>AJ26</f>
        <v>8</v>
      </c>
      <c r="I4" s="113"/>
      <c r="J4" s="114"/>
      <c r="K4" s="95">
        <f>H4*10320</f>
        <v>82560</v>
      </c>
      <c r="L4" s="96"/>
      <c r="M4" s="97"/>
      <c r="N4" s="94" t="s">
        <v>3</v>
      </c>
      <c r="O4" s="109"/>
      <c r="P4" s="109"/>
      <c r="Q4" s="109"/>
      <c r="R4" s="109"/>
      <c r="S4" s="110"/>
      <c r="T4" s="95"/>
      <c r="U4" s="96"/>
      <c r="V4" s="96"/>
      <c r="W4" s="96"/>
      <c r="X4" s="96"/>
      <c r="Y4" s="98"/>
    </row>
    <row r="5" spans="2:37" ht="16.5" customHeight="1">
      <c r="B5" s="108" t="s">
        <v>4</v>
      </c>
      <c r="C5" s="109"/>
      <c r="D5" s="109"/>
      <c r="E5" s="109"/>
      <c r="F5" s="109"/>
      <c r="G5" s="110"/>
      <c r="H5" s="112">
        <f>AJ27</f>
        <v>0</v>
      </c>
      <c r="I5" s="113"/>
      <c r="J5" s="114"/>
      <c r="K5" s="95">
        <f>H5*10320*1.5</f>
        <v>0</v>
      </c>
      <c r="L5" s="96"/>
      <c r="M5" s="97"/>
      <c r="N5" s="94" t="s">
        <v>5</v>
      </c>
      <c r="O5" s="109"/>
      <c r="P5" s="109"/>
      <c r="Q5" s="109"/>
      <c r="R5" s="109"/>
      <c r="S5" s="110"/>
      <c r="T5" s="95"/>
      <c r="U5" s="96"/>
      <c r="V5" s="96"/>
      <c r="W5" s="96"/>
      <c r="X5" s="96"/>
      <c r="Y5" s="98"/>
    </row>
    <row r="6" spans="2:37" ht="16.5" customHeight="1">
      <c r="B6" s="108" t="s">
        <v>6</v>
      </c>
      <c r="C6" s="109"/>
      <c r="D6" s="109"/>
      <c r="E6" s="109"/>
      <c r="F6" s="109"/>
      <c r="G6" s="110"/>
      <c r="H6" s="112"/>
      <c r="I6" s="113"/>
      <c r="J6" s="114"/>
      <c r="K6" s="95">
        <f>H6*10320*1.5</f>
        <v>0</v>
      </c>
      <c r="L6" s="96"/>
      <c r="M6" s="97"/>
      <c r="N6" s="94" t="s">
        <v>7</v>
      </c>
      <c r="O6" s="109"/>
      <c r="P6" s="109"/>
      <c r="Q6" s="109"/>
      <c r="R6" s="109"/>
      <c r="S6" s="110"/>
      <c r="T6" s="95"/>
      <c r="U6" s="96"/>
      <c r="V6" s="96"/>
      <c r="W6" s="96"/>
      <c r="X6" s="96"/>
      <c r="Y6" s="98"/>
      <c r="AK6" s="6"/>
    </row>
    <row r="7" spans="2:37" ht="16.5" customHeight="1">
      <c r="B7" s="108" t="s">
        <v>8</v>
      </c>
      <c r="C7" s="109"/>
      <c r="D7" s="109"/>
      <c r="E7" s="109"/>
      <c r="F7" s="109"/>
      <c r="G7" s="110"/>
      <c r="H7" s="112">
        <f>AJ28</f>
        <v>0</v>
      </c>
      <c r="I7" s="113"/>
      <c r="J7" s="114"/>
      <c r="K7" s="95">
        <f>H7*10320*1.5</f>
        <v>0</v>
      </c>
      <c r="L7" s="96"/>
      <c r="M7" s="97"/>
      <c r="N7" s="94" t="s">
        <v>18</v>
      </c>
      <c r="O7" s="109"/>
      <c r="P7" s="109"/>
      <c r="Q7" s="109"/>
      <c r="R7" s="109"/>
      <c r="S7" s="110"/>
      <c r="T7" s="95"/>
      <c r="U7" s="96"/>
      <c r="V7" s="96"/>
      <c r="W7" s="96"/>
      <c r="X7" s="96"/>
      <c r="Y7" s="98"/>
      <c r="AK7" s="6"/>
    </row>
    <row r="8" spans="2:37" ht="16.5" customHeight="1">
      <c r="B8" s="108" t="s">
        <v>30</v>
      </c>
      <c r="C8" s="109"/>
      <c r="D8" s="109"/>
      <c r="E8" s="109"/>
      <c r="F8" s="109"/>
      <c r="G8" s="110"/>
      <c r="H8" s="112">
        <f>AJ29</f>
        <v>0</v>
      </c>
      <c r="I8" s="113"/>
      <c r="J8" s="114"/>
      <c r="K8" s="95">
        <f>ROUNDDOWN(H8*10320*0.5,-1)</f>
        <v>0</v>
      </c>
      <c r="L8" s="96"/>
      <c r="M8" s="97"/>
      <c r="N8" s="94" t="s">
        <v>9</v>
      </c>
      <c r="O8" s="109"/>
      <c r="P8" s="109"/>
      <c r="Q8" s="109"/>
      <c r="R8" s="109"/>
      <c r="S8" s="110"/>
      <c r="T8" s="95"/>
      <c r="U8" s="96"/>
      <c r="V8" s="96"/>
      <c r="W8" s="96"/>
      <c r="X8" s="96"/>
      <c r="Y8" s="98"/>
      <c r="AK8" s="6"/>
    </row>
    <row r="9" spans="2:37" ht="16.5" customHeight="1">
      <c r="B9" s="108" t="s">
        <v>27</v>
      </c>
      <c r="C9" s="109"/>
      <c r="D9" s="109"/>
      <c r="E9" s="109"/>
      <c r="F9" s="109"/>
      <c r="G9" s="110"/>
      <c r="H9" s="19"/>
      <c r="I9" s="20"/>
      <c r="J9" s="21"/>
      <c r="K9" s="95"/>
      <c r="L9" s="96"/>
      <c r="M9" s="97"/>
      <c r="N9" s="93" t="s">
        <v>33</v>
      </c>
      <c r="O9" s="93"/>
      <c r="P9" s="93"/>
      <c r="Q9" s="93"/>
      <c r="R9" s="93"/>
      <c r="S9" s="93"/>
      <c r="T9" s="95">
        <f>ROUNDDOWN(H17*0.9%,-1)</f>
        <v>740</v>
      </c>
      <c r="U9" s="96"/>
      <c r="V9" s="96"/>
      <c r="W9" s="96"/>
      <c r="X9" s="96"/>
      <c r="Y9" s="98"/>
      <c r="AK9" s="5"/>
    </row>
    <row r="10" spans="2:37" ht="16.5" customHeight="1">
      <c r="B10" s="108" t="s">
        <v>31</v>
      </c>
      <c r="C10" s="109"/>
      <c r="D10" s="109"/>
      <c r="E10" s="109"/>
      <c r="F10" s="109"/>
      <c r="G10" s="110"/>
      <c r="H10" s="95"/>
      <c r="I10" s="96"/>
      <c r="J10" s="96"/>
      <c r="K10" s="96"/>
      <c r="L10" s="96"/>
      <c r="M10" s="97"/>
      <c r="N10" s="93" t="s">
        <v>11</v>
      </c>
      <c r="O10" s="93"/>
      <c r="P10" s="93"/>
      <c r="Q10" s="93"/>
      <c r="R10" s="93"/>
      <c r="S10" s="93"/>
      <c r="T10" s="103"/>
      <c r="U10" s="103"/>
      <c r="V10" s="103"/>
      <c r="W10" s="103"/>
      <c r="X10" s="103"/>
      <c r="Y10" s="104"/>
      <c r="Z10" s="2"/>
      <c r="AA10" s="2"/>
    </row>
    <row r="11" spans="2:37" ht="16.5" customHeight="1">
      <c r="B11" s="108" t="s">
        <v>32</v>
      </c>
      <c r="C11" s="109"/>
      <c r="D11" s="109"/>
      <c r="E11" s="109"/>
      <c r="F11" s="109"/>
      <c r="G11" s="110"/>
      <c r="H11" s="95"/>
      <c r="I11" s="96"/>
      <c r="J11" s="96"/>
      <c r="K11" s="96"/>
      <c r="L11" s="96"/>
      <c r="M11" s="97"/>
      <c r="N11" s="93"/>
      <c r="O11" s="93"/>
      <c r="P11" s="93"/>
      <c r="Q11" s="93"/>
      <c r="R11" s="93"/>
      <c r="S11" s="93"/>
      <c r="T11" s="95"/>
      <c r="U11" s="96"/>
      <c r="V11" s="96"/>
      <c r="W11" s="96"/>
      <c r="X11" s="96"/>
      <c r="Y11" s="98"/>
      <c r="Z11" s="2"/>
      <c r="AA11" s="2"/>
    </row>
    <row r="12" spans="2:37" ht="16.5" customHeight="1">
      <c r="B12" s="108" t="s">
        <v>74</v>
      </c>
      <c r="C12" s="109"/>
      <c r="D12" s="109"/>
      <c r="E12" s="109"/>
      <c r="F12" s="109"/>
      <c r="G12" s="110"/>
      <c r="H12" s="95"/>
      <c r="I12" s="96"/>
      <c r="J12" s="96"/>
      <c r="K12" s="96"/>
      <c r="L12" s="96"/>
      <c r="M12" s="97"/>
      <c r="N12" s="93"/>
      <c r="O12" s="93"/>
      <c r="P12" s="93"/>
      <c r="Q12" s="93"/>
      <c r="R12" s="93"/>
      <c r="S12" s="93"/>
      <c r="T12" s="95"/>
      <c r="U12" s="96"/>
      <c r="V12" s="96"/>
      <c r="W12" s="96"/>
      <c r="X12" s="96"/>
      <c r="Y12" s="98"/>
      <c r="Z12" s="2"/>
      <c r="AA12" s="2"/>
    </row>
    <row r="13" spans="2:37" ht="16.5" customHeight="1">
      <c r="B13" s="108" t="s">
        <v>241</v>
      </c>
      <c r="C13" s="109"/>
      <c r="D13" s="109"/>
      <c r="E13" s="109"/>
      <c r="F13" s="109"/>
      <c r="G13" s="110"/>
      <c r="H13" s="95"/>
      <c r="I13" s="96"/>
      <c r="J13" s="96"/>
      <c r="K13" s="96"/>
      <c r="L13" s="96"/>
      <c r="M13" s="97"/>
      <c r="N13" s="102"/>
      <c r="O13" s="127"/>
      <c r="P13" s="127"/>
      <c r="Q13" s="127"/>
      <c r="R13" s="127"/>
      <c r="S13" s="128"/>
      <c r="T13" s="95"/>
      <c r="U13" s="96"/>
      <c r="V13" s="96"/>
      <c r="W13" s="96"/>
      <c r="X13" s="96"/>
      <c r="Y13" s="98"/>
      <c r="Z13" s="2"/>
      <c r="AA13" s="2"/>
    </row>
    <row r="14" spans="2:37" ht="16.5">
      <c r="B14" s="108"/>
      <c r="C14" s="109"/>
      <c r="D14" s="109"/>
      <c r="E14" s="109"/>
      <c r="F14" s="109"/>
      <c r="G14" s="110"/>
      <c r="H14" s="95"/>
      <c r="I14" s="96"/>
      <c r="J14" s="96"/>
      <c r="K14" s="96"/>
      <c r="L14" s="96"/>
      <c r="M14" s="97"/>
      <c r="N14" s="102"/>
      <c r="O14" s="127"/>
      <c r="P14" s="127"/>
      <c r="Q14" s="127"/>
      <c r="R14" s="127"/>
      <c r="S14" s="128"/>
      <c r="T14" s="95"/>
      <c r="U14" s="96"/>
      <c r="V14" s="96"/>
      <c r="W14" s="96"/>
      <c r="X14" s="96"/>
      <c r="Y14" s="98"/>
      <c r="Z14" s="2"/>
      <c r="AA14" s="2"/>
    </row>
    <row r="15" spans="2:37" ht="16.5">
      <c r="B15" s="145"/>
      <c r="C15" s="127"/>
      <c r="D15" s="127"/>
      <c r="E15" s="127"/>
      <c r="F15" s="127"/>
      <c r="G15" s="128"/>
      <c r="H15" s="95"/>
      <c r="I15" s="96"/>
      <c r="J15" s="96"/>
      <c r="K15" s="96"/>
      <c r="L15" s="96"/>
      <c r="M15" s="97"/>
      <c r="N15" s="102"/>
      <c r="O15" s="127"/>
      <c r="P15" s="127"/>
      <c r="Q15" s="127"/>
      <c r="R15" s="127"/>
      <c r="S15" s="128"/>
      <c r="T15" s="95"/>
      <c r="U15" s="96"/>
      <c r="V15" s="96"/>
      <c r="W15" s="96"/>
      <c r="X15" s="96"/>
      <c r="Y15" s="98"/>
      <c r="Z15" s="2"/>
      <c r="AA15" s="2"/>
    </row>
    <row r="16" spans="2:37" ht="16.5">
      <c r="B16" s="145"/>
      <c r="C16" s="127"/>
      <c r="D16" s="127"/>
      <c r="E16" s="127"/>
      <c r="F16" s="127"/>
      <c r="G16" s="128"/>
      <c r="H16" s="95"/>
      <c r="I16" s="96"/>
      <c r="J16" s="96"/>
      <c r="K16" s="96"/>
      <c r="L16" s="96"/>
      <c r="M16" s="97"/>
      <c r="N16" s="102" t="s">
        <v>12</v>
      </c>
      <c r="O16" s="127"/>
      <c r="P16" s="127"/>
      <c r="Q16" s="127"/>
      <c r="R16" s="127"/>
      <c r="S16" s="128"/>
      <c r="T16" s="95">
        <f>SUM(T4:Y13)</f>
        <v>740</v>
      </c>
      <c r="U16" s="96"/>
      <c r="V16" s="96"/>
      <c r="W16" s="96"/>
      <c r="X16" s="96"/>
      <c r="Y16" s="98"/>
      <c r="Z16" s="5"/>
      <c r="AA16" s="5"/>
    </row>
    <row r="17" spans="1:36" ht="17.25" thickBot="1">
      <c r="B17" s="130" t="s">
        <v>13</v>
      </c>
      <c r="C17" s="131"/>
      <c r="D17" s="131"/>
      <c r="E17" s="131"/>
      <c r="F17" s="131"/>
      <c r="G17" s="132"/>
      <c r="H17" s="133">
        <f>SUM(K4,K5,K6,K7,K8,K9,H10,H11,H12,H13,H14,H15,H16)</f>
        <v>82560</v>
      </c>
      <c r="I17" s="134"/>
      <c r="J17" s="134"/>
      <c r="K17" s="134"/>
      <c r="L17" s="134"/>
      <c r="M17" s="135"/>
      <c r="N17" s="107" t="s">
        <v>14</v>
      </c>
      <c r="O17" s="131"/>
      <c r="P17" s="131"/>
      <c r="Q17" s="131"/>
      <c r="R17" s="131"/>
      <c r="S17" s="132"/>
      <c r="T17" s="133">
        <f>H17-T16</f>
        <v>81820</v>
      </c>
      <c r="U17" s="134"/>
      <c r="V17" s="134"/>
      <c r="W17" s="134"/>
      <c r="X17" s="134"/>
      <c r="Y17" s="136"/>
      <c r="Z17" s="5"/>
      <c r="AA17" s="5"/>
      <c r="AD17" s="76"/>
      <c r="AE17" s="76"/>
    </row>
    <row r="18" spans="1:36" ht="21.7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5"/>
      <c r="AA18" s="5"/>
    </row>
    <row r="19" spans="1:36" ht="21" thickBo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4" t="s">
        <v>36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5"/>
      <c r="AA19" s="5"/>
    </row>
    <row r="20" spans="1:36" ht="21" thickTop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3"/>
      <c r="O20" s="13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5"/>
      <c r="AA20" s="5"/>
    </row>
    <row r="21" spans="1:36" ht="17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O21" s="3"/>
      <c r="P21" s="85" t="s">
        <v>15</v>
      </c>
      <c r="Q21" s="85"/>
      <c r="R21" s="85"/>
      <c r="S21" s="85"/>
      <c r="T21" s="86" t="s">
        <v>286</v>
      </c>
      <c r="U21" s="86"/>
      <c r="V21" s="86"/>
      <c r="W21" s="86"/>
      <c r="Z21" s="5"/>
      <c r="AA21" s="4"/>
    </row>
    <row r="22" spans="1:36" ht="16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P22" s="85"/>
      <c r="Q22" s="85"/>
      <c r="R22" s="85"/>
      <c r="S22" s="85"/>
      <c r="T22" s="86"/>
      <c r="U22" s="86"/>
      <c r="V22" s="86"/>
      <c r="W22" s="86"/>
      <c r="Z22" s="5"/>
      <c r="AA22" s="4"/>
    </row>
    <row r="23" spans="1:36" ht="17.25" thickBot="1"/>
    <row r="24" spans="1:36" ht="16.5" customHeight="1">
      <c r="A24" s="140"/>
      <c r="B24" s="141" t="s">
        <v>16</v>
      </c>
      <c r="C24" s="143" t="s">
        <v>28</v>
      </c>
      <c r="D24" s="61">
        <v>1</v>
      </c>
      <c r="E24" s="147">
        <v>2</v>
      </c>
      <c r="F24" s="147">
        <v>3</v>
      </c>
      <c r="G24" s="147">
        <v>4</v>
      </c>
      <c r="H24" s="147">
        <v>5</v>
      </c>
      <c r="I24" s="147">
        <v>6</v>
      </c>
      <c r="J24" s="33">
        <v>7</v>
      </c>
      <c r="K24" s="34">
        <v>8</v>
      </c>
      <c r="L24" s="147">
        <v>9</v>
      </c>
      <c r="M24" s="147">
        <v>10</v>
      </c>
      <c r="N24" s="147">
        <v>11</v>
      </c>
      <c r="O24" s="147">
        <v>12</v>
      </c>
      <c r="P24" s="147">
        <v>13</v>
      </c>
      <c r="Q24" s="33">
        <v>14</v>
      </c>
      <c r="R24" s="34">
        <v>15</v>
      </c>
      <c r="S24" s="34">
        <v>16</v>
      </c>
      <c r="T24" s="34">
        <v>17</v>
      </c>
      <c r="U24" s="34">
        <v>18</v>
      </c>
      <c r="V24" s="147">
        <v>19</v>
      </c>
      <c r="W24" s="147">
        <v>20</v>
      </c>
      <c r="X24" s="33">
        <v>21</v>
      </c>
      <c r="Y24" s="34">
        <v>22</v>
      </c>
      <c r="Z24" s="147">
        <v>23</v>
      </c>
      <c r="AA24" s="147">
        <v>24</v>
      </c>
      <c r="AB24" s="152">
        <v>25</v>
      </c>
      <c r="AC24" s="147">
        <v>26</v>
      </c>
      <c r="AD24" s="147">
        <v>27</v>
      </c>
      <c r="AE24" s="33">
        <v>28</v>
      </c>
      <c r="AF24" s="147"/>
      <c r="AG24" s="147"/>
      <c r="AH24" s="153"/>
      <c r="AI24" s="77" t="s">
        <v>43</v>
      </c>
      <c r="AJ24" s="137" t="s">
        <v>19</v>
      </c>
    </row>
    <row r="25" spans="1:36" ht="16.5" customHeight="1" thickBot="1">
      <c r="A25" s="140"/>
      <c r="B25" s="142"/>
      <c r="C25" s="144"/>
      <c r="D25" s="62" t="s">
        <v>261</v>
      </c>
      <c r="E25" s="148" t="s">
        <v>262</v>
      </c>
      <c r="F25" s="148" t="s">
        <v>20</v>
      </c>
      <c r="G25" s="148" t="s">
        <v>21</v>
      </c>
      <c r="H25" s="148" t="s">
        <v>22</v>
      </c>
      <c r="I25" s="148" t="s">
        <v>23</v>
      </c>
      <c r="J25" s="36" t="s">
        <v>24</v>
      </c>
      <c r="K25" s="37" t="s">
        <v>25</v>
      </c>
      <c r="L25" s="148" t="s">
        <v>26</v>
      </c>
      <c r="M25" s="148" t="s">
        <v>20</v>
      </c>
      <c r="N25" s="148" t="s">
        <v>21</v>
      </c>
      <c r="O25" s="148" t="s">
        <v>22</v>
      </c>
      <c r="P25" s="148" t="s">
        <v>23</v>
      </c>
      <c r="Q25" s="36" t="s">
        <v>24</v>
      </c>
      <c r="R25" s="37" t="s">
        <v>25</v>
      </c>
      <c r="S25" s="37" t="s">
        <v>26</v>
      </c>
      <c r="T25" s="37" t="s">
        <v>20</v>
      </c>
      <c r="U25" s="37" t="s">
        <v>21</v>
      </c>
      <c r="V25" s="148" t="s">
        <v>22</v>
      </c>
      <c r="W25" s="148" t="s">
        <v>23</v>
      </c>
      <c r="X25" s="36" t="s">
        <v>24</v>
      </c>
      <c r="Y25" s="37" t="s">
        <v>25</v>
      </c>
      <c r="Z25" s="148" t="s">
        <v>26</v>
      </c>
      <c r="AA25" s="148" t="s">
        <v>20</v>
      </c>
      <c r="AB25" s="148" t="s">
        <v>21</v>
      </c>
      <c r="AC25" s="148" t="s">
        <v>22</v>
      </c>
      <c r="AD25" s="148" t="s">
        <v>23</v>
      </c>
      <c r="AE25" s="36" t="s">
        <v>24</v>
      </c>
      <c r="AF25" s="148"/>
      <c r="AG25" s="148"/>
      <c r="AH25" s="154"/>
      <c r="AI25" s="78"/>
      <c r="AJ25" s="138"/>
    </row>
    <row r="26" spans="1:36" ht="16.5" customHeight="1">
      <c r="A26" s="139"/>
      <c r="B26" s="82" t="str">
        <f>T21</f>
        <v>최금화</v>
      </c>
      <c r="C26" s="35" t="s">
        <v>107</v>
      </c>
      <c r="D26" s="63"/>
      <c r="E26" s="149"/>
      <c r="F26" s="149"/>
      <c r="G26" s="149"/>
      <c r="H26" s="149"/>
      <c r="I26" s="149"/>
      <c r="J26" s="55"/>
      <c r="K26" s="66"/>
      <c r="L26" s="149"/>
      <c r="M26" s="149"/>
      <c r="N26" s="149"/>
      <c r="O26" s="149"/>
      <c r="P26" s="149"/>
      <c r="Q26" s="55"/>
      <c r="R26" s="66"/>
      <c r="S26" s="66"/>
      <c r="T26" s="66"/>
      <c r="U26" s="66"/>
      <c r="V26" s="149"/>
      <c r="W26" s="149"/>
      <c r="X26" s="55"/>
      <c r="Y26" s="66"/>
      <c r="Z26" s="149"/>
      <c r="AA26" s="149"/>
      <c r="AB26" s="149"/>
      <c r="AC26" s="149"/>
      <c r="AD26" s="149">
        <v>8</v>
      </c>
      <c r="AE26" s="58"/>
      <c r="AF26" s="149"/>
      <c r="AG26" s="149"/>
      <c r="AH26" s="155"/>
      <c r="AI26" s="46"/>
      <c r="AJ26" s="18">
        <f>SUM(D26:AI26)</f>
        <v>8</v>
      </c>
    </row>
    <row r="27" spans="1:36" ht="16.5">
      <c r="A27" s="139"/>
      <c r="B27" s="82"/>
      <c r="C27" s="23" t="s">
        <v>108</v>
      </c>
      <c r="D27" s="64"/>
      <c r="E27" s="150"/>
      <c r="F27" s="150"/>
      <c r="G27" s="150"/>
      <c r="H27" s="150"/>
      <c r="I27" s="150"/>
      <c r="J27" s="56"/>
      <c r="K27" s="67"/>
      <c r="L27" s="150"/>
      <c r="M27" s="150"/>
      <c r="N27" s="150"/>
      <c r="O27" s="150"/>
      <c r="P27" s="150"/>
      <c r="Q27" s="56"/>
      <c r="R27" s="67"/>
      <c r="S27" s="67"/>
      <c r="T27" s="67"/>
      <c r="U27" s="67"/>
      <c r="V27" s="150"/>
      <c r="W27" s="150"/>
      <c r="X27" s="56"/>
      <c r="Y27" s="67"/>
      <c r="Z27" s="150"/>
      <c r="AA27" s="150"/>
      <c r="AB27" s="150"/>
      <c r="AC27" s="150"/>
      <c r="AD27" s="150"/>
      <c r="AE27" s="59"/>
      <c r="AF27" s="150"/>
      <c r="AG27" s="150"/>
      <c r="AH27" s="156"/>
      <c r="AI27" s="47"/>
      <c r="AJ27" s="16">
        <f>SUM(D27:AI27)</f>
        <v>0</v>
      </c>
    </row>
    <row r="28" spans="1:36" ht="16.5">
      <c r="A28" s="139"/>
      <c r="B28" s="82"/>
      <c r="C28" s="23" t="s">
        <v>109</v>
      </c>
      <c r="D28" s="64"/>
      <c r="E28" s="150"/>
      <c r="F28" s="150"/>
      <c r="G28" s="150"/>
      <c r="H28" s="150"/>
      <c r="I28" s="150"/>
      <c r="J28" s="56"/>
      <c r="K28" s="67"/>
      <c r="L28" s="150"/>
      <c r="M28" s="150"/>
      <c r="N28" s="150"/>
      <c r="O28" s="150"/>
      <c r="P28" s="150"/>
      <c r="Q28" s="56"/>
      <c r="R28" s="67"/>
      <c r="S28" s="67"/>
      <c r="T28" s="67"/>
      <c r="U28" s="67"/>
      <c r="V28" s="150"/>
      <c r="W28" s="150"/>
      <c r="X28" s="56"/>
      <c r="Y28" s="67"/>
      <c r="Z28" s="150"/>
      <c r="AA28" s="150"/>
      <c r="AB28" s="150"/>
      <c r="AC28" s="150"/>
      <c r="AD28" s="150"/>
      <c r="AE28" s="59"/>
      <c r="AF28" s="150"/>
      <c r="AG28" s="150"/>
      <c r="AH28" s="156"/>
      <c r="AI28" s="47"/>
      <c r="AJ28" s="16">
        <f>SUM(D28:AI28)</f>
        <v>0</v>
      </c>
    </row>
    <row r="29" spans="1:36" ht="16.5">
      <c r="A29" s="139"/>
      <c r="B29" s="82"/>
      <c r="C29" s="23" t="s">
        <v>110</v>
      </c>
      <c r="D29" s="64"/>
      <c r="E29" s="150"/>
      <c r="F29" s="150"/>
      <c r="G29" s="150"/>
      <c r="H29" s="150"/>
      <c r="I29" s="150"/>
      <c r="J29" s="56"/>
      <c r="K29" s="67"/>
      <c r="L29" s="150"/>
      <c r="M29" s="150"/>
      <c r="N29" s="150"/>
      <c r="O29" s="150"/>
      <c r="P29" s="150"/>
      <c r="Q29" s="56"/>
      <c r="R29" s="67"/>
      <c r="S29" s="67"/>
      <c r="T29" s="67"/>
      <c r="U29" s="67"/>
      <c r="V29" s="150"/>
      <c r="W29" s="150"/>
      <c r="X29" s="56"/>
      <c r="Y29" s="67"/>
      <c r="Z29" s="150"/>
      <c r="AA29" s="150"/>
      <c r="AB29" s="150"/>
      <c r="AC29" s="150"/>
      <c r="AD29" s="150"/>
      <c r="AE29" s="59"/>
      <c r="AF29" s="150"/>
      <c r="AG29" s="150"/>
      <c r="AH29" s="156"/>
      <c r="AI29" s="48"/>
      <c r="AJ29" s="16">
        <f>SUM(D29:AI29)</f>
        <v>0</v>
      </c>
    </row>
    <row r="30" spans="1:36" ht="16.5">
      <c r="A30" s="22"/>
      <c r="B30" s="82"/>
      <c r="C30" s="23" t="s">
        <v>111</v>
      </c>
      <c r="D30" s="64"/>
      <c r="E30" s="150"/>
      <c r="F30" s="150"/>
      <c r="G30" s="150"/>
      <c r="H30" s="150"/>
      <c r="I30" s="150"/>
      <c r="J30" s="56"/>
      <c r="K30" s="67"/>
      <c r="L30" s="150"/>
      <c r="M30" s="150"/>
      <c r="N30" s="150"/>
      <c r="O30" s="150"/>
      <c r="P30" s="150"/>
      <c r="Q30" s="56"/>
      <c r="R30" s="67"/>
      <c r="S30" s="67"/>
      <c r="T30" s="67"/>
      <c r="U30" s="67"/>
      <c r="V30" s="150"/>
      <c r="W30" s="150"/>
      <c r="X30" s="56"/>
      <c r="Y30" s="67"/>
      <c r="Z30" s="150"/>
      <c r="AA30" s="150"/>
      <c r="AB30" s="157"/>
      <c r="AC30" s="150"/>
      <c r="AD30" s="150"/>
      <c r="AE30" s="59"/>
      <c r="AF30" s="150"/>
      <c r="AG30" s="150"/>
      <c r="AH30" s="156"/>
      <c r="AI30" s="49"/>
      <c r="AJ30" s="16">
        <f>SUM(D30:AI30)</f>
        <v>0</v>
      </c>
    </row>
    <row r="31" spans="1:36" ht="18" customHeight="1" thickBot="1">
      <c r="B31" s="83"/>
      <c r="C31" s="24" t="s">
        <v>112</v>
      </c>
      <c r="D31" s="65"/>
      <c r="E31" s="151"/>
      <c r="F31" s="151"/>
      <c r="G31" s="151"/>
      <c r="H31" s="151"/>
      <c r="I31" s="151"/>
      <c r="J31" s="57"/>
      <c r="K31" s="68"/>
      <c r="L31" s="151"/>
      <c r="M31" s="151"/>
      <c r="N31" s="151"/>
      <c r="O31" s="151"/>
      <c r="P31" s="151"/>
      <c r="Q31" s="57"/>
      <c r="R31" s="68"/>
      <c r="S31" s="68"/>
      <c r="T31" s="68" t="s">
        <v>296</v>
      </c>
      <c r="U31" s="68"/>
      <c r="V31" s="151"/>
      <c r="W31" s="151"/>
      <c r="X31" s="57"/>
      <c r="Y31" s="68"/>
      <c r="Z31" s="151"/>
      <c r="AA31" s="151"/>
      <c r="AB31" s="151"/>
      <c r="AC31" s="151"/>
      <c r="AD31" s="151"/>
      <c r="AE31" s="60"/>
      <c r="AF31" s="151"/>
      <c r="AG31" s="151"/>
      <c r="AH31" s="158"/>
      <c r="AI31" s="50"/>
      <c r="AJ31" s="17" t="s">
        <v>29</v>
      </c>
    </row>
  </sheetData>
  <mergeCells count="76">
    <mergeCell ref="AI24:AI25"/>
    <mergeCell ref="AJ24:AJ25"/>
    <mergeCell ref="A26:A29"/>
    <mergeCell ref="B26:B31"/>
    <mergeCell ref="N19:Y19"/>
    <mergeCell ref="P21:S22"/>
    <mergeCell ref="T21:W22"/>
    <mergeCell ref="A24:A25"/>
    <mergeCell ref="B24:B25"/>
    <mergeCell ref="C24:C25"/>
    <mergeCell ref="B17:G17"/>
    <mergeCell ref="H17:M17"/>
    <mergeCell ref="N17:S17"/>
    <mergeCell ref="T17:Y17"/>
    <mergeCell ref="AD17:AE17"/>
    <mergeCell ref="N18:Y18"/>
    <mergeCell ref="B15:G15"/>
    <mergeCell ref="H15:M15"/>
    <mergeCell ref="N15:S15"/>
    <mergeCell ref="T15:Y15"/>
    <mergeCell ref="B16:G16"/>
    <mergeCell ref="H16:M16"/>
    <mergeCell ref="N16:S16"/>
    <mergeCell ref="T16:Y16"/>
    <mergeCell ref="B13:G13"/>
    <mergeCell ref="H13:M13"/>
    <mergeCell ref="N13:S13"/>
    <mergeCell ref="T13:Y13"/>
    <mergeCell ref="B14:G14"/>
    <mergeCell ref="H14:M14"/>
    <mergeCell ref="N14:S14"/>
    <mergeCell ref="T14:Y14"/>
    <mergeCell ref="B11:G11"/>
    <mergeCell ref="H11:M11"/>
    <mergeCell ref="N11:S11"/>
    <mergeCell ref="T11:Y11"/>
    <mergeCell ref="B12:G12"/>
    <mergeCell ref="H12:M12"/>
    <mergeCell ref="N12:S12"/>
    <mergeCell ref="T12:Y12"/>
    <mergeCell ref="B9:G9"/>
    <mergeCell ref="K9:M9"/>
    <mergeCell ref="N9:S9"/>
    <mergeCell ref="T9:Y9"/>
    <mergeCell ref="B10:G10"/>
    <mergeCell ref="H10:M10"/>
    <mergeCell ref="N10:S10"/>
    <mergeCell ref="T10:Y10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C24:C31">
    <cfRule type="containsText" dxfId="24" priority="4" operator="containsText" text="결근">
      <formula>NOT(ISERROR(SEARCH("결근",C24)))</formula>
    </cfRule>
    <cfRule type="containsText" dxfId="23" priority="5" operator="containsText" text="퇴사">
      <formula>NOT(ISERROR(SEARCH("퇴사",C24)))</formula>
    </cfRule>
    <cfRule type="containsText" dxfId="22" priority="6" operator="containsText" text="입사">
      <formula>NOT(ISERROR(SEARCH("입사",C24)))</formula>
    </cfRule>
  </conditionalFormatting>
  <conditionalFormatting sqref="C26:C31">
    <cfRule type="containsText" dxfId="21" priority="1" operator="containsText" text="반차">
      <formula>NOT(ISERROR(SEARCH("반차",C26)))</formula>
    </cfRule>
    <cfRule type="containsText" dxfId="20" priority="2" operator="containsText" text="휴무">
      <formula>NOT(ISERROR(SEARCH("휴무",C26)))</formula>
    </cfRule>
    <cfRule type="containsText" dxfId="19" priority="3" operator="containsText" text="연차">
      <formula>NOT(ISERROR(SEARCH("연차",C26)))</formula>
    </cfRule>
  </conditionalFormatting>
  <conditionalFormatting sqref="AI24:AJ31">
    <cfRule type="containsText" dxfId="18" priority="7" operator="containsText" text="결근">
      <formula>NOT(ISERROR(SEARCH("결근",AI24)))</formula>
    </cfRule>
    <cfRule type="containsText" dxfId="17" priority="8" operator="containsText" text="퇴사">
      <formula>NOT(ISERROR(SEARCH("퇴사",AI24)))</formula>
    </cfRule>
    <cfRule type="containsText" dxfId="16" priority="9" operator="containsText" text="입사">
      <formula>NOT(ISERROR(SEARCH("입사",AI24)))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70</vt:i4>
      </vt:variant>
    </vt:vector>
  </HeadingPairs>
  <TitlesOfParts>
    <vt:vector size="70" baseType="lpstr">
      <vt:lpstr>겉지</vt:lpstr>
      <vt:lpstr>김향숙</vt:lpstr>
      <vt:lpstr>이영수</vt:lpstr>
      <vt:lpstr>이미영A</vt:lpstr>
      <vt:lpstr>윤선희</vt:lpstr>
      <vt:lpstr>또아</vt:lpstr>
      <vt:lpstr>김봉화</vt:lpstr>
      <vt:lpstr>이윤진</vt:lpstr>
      <vt:lpstr>이윤영</vt:lpstr>
      <vt:lpstr>김성실</vt:lpstr>
      <vt:lpstr>박승미</vt:lpstr>
      <vt:lpstr>김수희</vt:lpstr>
      <vt:lpstr>설홍매</vt:lpstr>
      <vt:lpstr>김구연</vt:lpstr>
      <vt:lpstr>김현순</vt:lpstr>
      <vt:lpstr>장희숙</vt:lpstr>
      <vt:lpstr>김수정B</vt:lpstr>
      <vt:lpstr>박서원B</vt:lpstr>
      <vt:lpstr>최삼순</vt:lpstr>
      <vt:lpstr>프라타레네린</vt:lpstr>
      <vt:lpstr>육은심</vt:lpstr>
      <vt:lpstr>김수현</vt:lpstr>
      <vt:lpstr>한계숙</vt:lpstr>
      <vt:lpstr>풍춘향</vt:lpstr>
      <vt:lpstr>유지원</vt:lpstr>
      <vt:lpstr>김연순</vt:lpstr>
      <vt:lpstr>지미경</vt:lpstr>
      <vt:lpstr>트란티남</vt:lpstr>
      <vt:lpstr>박혜선</vt:lpstr>
      <vt:lpstr>이수진</vt:lpstr>
      <vt:lpstr>강명옥</vt:lpstr>
      <vt:lpstr>최춘자</vt:lpstr>
      <vt:lpstr>레티탐</vt:lpstr>
      <vt:lpstr>노미순</vt:lpstr>
      <vt:lpstr>한서현</vt:lpstr>
      <vt:lpstr>응웬티회</vt:lpstr>
      <vt:lpstr>정오례</vt:lpstr>
      <vt:lpstr>문영</vt:lpstr>
      <vt:lpstr>박정희</vt:lpstr>
      <vt:lpstr>임정숙</vt:lpstr>
      <vt:lpstr>한부덕</vt:lpstr>
      <vt:lpstr>후인민뉴</vt:lpstr>
      <vt:lpstr>송순옥</vt:lpstr>
      <vt:lpstr>응우옌티휴옌짱</vt:lpstr>
      <vt:lpstr>김보아</vt:lpstr>
      <vt:lpstr>포브스레이멘</vt:lpstr>
      <vt:lpstr>율리야</vt:lpstr>
      <vt:lpstr>김미선</vt:lpstr>
      <vt:lpstr>진수연</vt:lpstr>
      <vt:lpstr>이방미</vt:lpstr>
      <vt:lpstr>이혜영</vt:lpstr>
      <vt:lpstr>김선미D</vt:lpstr>
      <vt:lpstr>오수빈</vt:lpstr>
      <vt:lpstr>위파위</vt:lpstr>
      <vt:lpstr>서미란</vt:lpstr>
      <vt:lpstr>박소연B</vt:lpstr>
      <vt:lpstr>이학래</vt:lpstr>
      <vt:lpstr>마리나</vt:lpstr>
      <vt:lpstr>김명희B</vt:lpstr>
      <vt:lpstr>이현정C</vt:lpstr>
      <vt:lpstr>이효진</vt:lpstr>
      <vt:lpstr>문지현</vt:lpstr>
      <vt:lpstr>문지수</vt:lpstr>
      <vt:lpstr>원차연</vt:lpstr>
      <vt:lpstr>리티민홍</vt:lpstr>
      <vt:lpstr>이주성</vt:lpstr>
      <vt:lpstr>최보경</vt:lpstr>
      <vt:lpstr>김유진E</vt:lpstr>
      <vt:lpstr>이정화</vt:lpstr>
      <vt:lpstr>최금화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unitec</dc:creator>
  <cp:lastModifiedBy>user</cp:lastModifiedBy>
  <cp:lastPrinted>2015-12-03T07:44:50Z</cp:lastPrinted>
  <dcterms:created xsi:type="dcterms:W3CDTF">2015-05-06T06:37:56Z</dcterms:created>
  <dcterms:modified xsi:type="dcterms:W3CDTF">2026-03-12T07:40:37Z</dcterms:modified>
</cp:coreProperties>
</file>